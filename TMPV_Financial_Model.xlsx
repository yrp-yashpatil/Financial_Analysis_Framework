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ASH_PATIL\EXCEL_Financial_Modelling\Financial Models\"/>
    </mc:Choice>
  </mc:AlternateContent>
  <xr:revisionPtr revIDLastSave="0" documentId="13_ncr:1_{97B188BD-9655-439D-8172-5DE32CFC260A}" xr6:coauthVersionLast="47" xr6:coauthVersionMax="47" xr10:uidLastSave="{00000000-0000-0000-0000-000000000000}"/>
  <bookViews>
    <workbookView xWindow="-98" yWindow="-98" windowWidth="19396" windowHeight="11475" activeTab="1" xr2:uid="{F33051D4-8431-4A28-8577-061081F9C440}"/>
  </bookViews>
  <sheets>
    <sheet name="Financials&gt;" sheetId="2" r:id="rId1"/>
    <sheet name="Historical FS" sheetId="3" r:id="rId2"/>
    <sheet name="Ratio Analysis" sheetId="8" r:id="rId3"/>
    <sheet name="Forecasting" sheetId="9" r:id="rId4"/>
    <sheet name="Data&gt;" sheetId="4" r:id="rId5"/>
    <sheet name="Data Sheet" sheetId="1" r:id="rId6"/>
    <sheet name="Cash Flow Data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9" l="1"/>
  <c r="H6" i="9"/>
  <c r="H7" i="9"/>
  <c r="H8" i="9"/>
  <c r="H9" i="9"/>
  <c r="H10" i="9"/>
  <c r="H11" i="9"/>
  <c r="H12" i="9"/>
  <c r="H13" i="9"/>
  <c r="H14" i="9"/>
  <c r="H15" i="9"/>
  <c r="H16" i="9"/>
  <c r="H17" i="9" s="1"/>
  <c r="H18" i="9" s="1"/>
  <c r="H4" i="9"/>
  <c r="C105" i="3"/>
  <c r="N15" i="9"/>
  <c r="N16" i="9"/>
  <c r="N17" i="9"/>
  <c r="N18" i="9"/>
  <c r="N14" i="9"/>
  <c r="N4" i="9" a="1"/>
  <c r="N6" i="9" s="1"/>
  <c r="L2" i="9"/>
  <c r="M5" i="9"/>
  <c r="M6" i="9" s="1"/>
  <c r="M7" i="9" s="1"/>
  <c r="M8" i="9" s="1"/>
  <c r="M9" i="9" s="1"/>
  <c r="M10" i="9" s="1"/>
  <c r="M11" i="9" s="1"/>
  <c r="M12" i="9" s="1"/>
  <c r="M13" i="9" s="1"/>
  <c r="M14" i="9" s="1"/>
  <c r="M15" i="9" s="1"/>
  <c r="M16" i="9" s="1"/>
  <c r="M17" i="9" s="1"/>
  <c r="M18" i="9" s="1"/>
  <c r="L5" i="9"/>
  <c r="L6" i="9" s="1"/>
  <c r="L7" i="9" s="1"/>
  <c r="L8" i="9" s="1"/>
  <c r="L9" i="9" s="1"/>
  <c r="L10" i="9" s="1"/>
  <c r="L11" i="9" s="1"/>
  <c r="L12" i="9" s="1"/>
  <c r="L13" i="9" s="1"/>
  <c r="L14" i="9" s="1"/>
  <c r="J14" i="9"/>
  <c r="J15" i="9"/>
  <c r="J16" i="9"/>
  <c r="J17" i="9"/>
  <c r="J18" i="9"/>
  <c r="I15" i="9"/>
  <c r="I16" i="9"/>
  <c r="I17" i="9"/>
  <c r="I18" i="9"/>
  <c r="I14" i="9"/>
  <c r="J6" i="9"/>
  <c r="J7" i="9"/>
  <c r="J8" i="9"/>
  <c r="J9" i="9"/>
  <c r="J10" i="9"/>
  <c r="J11" i="9"/>
  <c r="J12" i="9"/>
  <c r="J13" i="9"/>
  <c r="J5" i="9"/>
  <c r="I4" i="9" a="1"/>
  <c r="I4" i="9" s="1"/>
  <c r="I5" i="9"/>
  <c r="G5" i="9"/>
  <c r="G6" i="9" s="1"/>
  <c r="G7" i="9" s="1"/>
  <c r="G8" i="9" s="1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2" i="9"/>
  <c r="D15" i="9"/>
  <c r="D16" i="9"/>
  <c r="D17" i="9"/>
  <c r="D18" i="9"/>
  <c r="D14" i="9"/>
  <c r="D4" i="9" a="1"/>
  <c r="D5" i="9" s="1"/>
  <c r="D4" i="9"/>
  <c r="B2" i="9"/>
  <c r="N5" i="9" l="1"/>
  <c r="N4" i="9"/>
  <c r="O5" i="9" s="1"/>
  <c r="N13" i="9"/>
  <c r="N12" i="9"/>
  <c r="N11" i="9"/>
  <c r="N10" i="9"/>
  <c r="N9" i="9"/>
  <c r="O9" i="9" s="1"/>
  <c r="N8" i="9"/>
  <c r="N7" i="9"/>
  <c r="O7" i="9" s="1"/>
  <c r="O13" i="9"/>
  <c r="L15" i="9"/>
  <c r="O14" i="9"/>
  <c r="O6" i="9"/>
  <c r="O8" i="9"/>
  <c r="O11" i="9"/>
  <c r="I13" i="9"/>
  <c r="I12" i="9"/>
  <c r="I11" i="9"/>
  <c r="I10" i="9"/>
  <c r="I9" i="9"/>
  <c r="I8" i="9"/>
  <c r="I7" i="9"/>
  <c r="I6" i="9"/>
  <c r="D13" i="9"/>
  <c r="D12" i="9"/>
  <c r="D11" i="9"/>
  <c r="D10" i="9"/>
  <c r="D9" i="9"/>
  <c r="D8" i="9"/>
  <c r="D7" i="9"/>
  <c r="D6" i="9"/>
  <c r="O10" i="9" l="1"/>
  <c r="O15" i="9"/>
  <c r="L16" i="9"/>
  <c r="O12" i="9"/>
  <c r="L17" i="9" l="1"/>
  <c r="O16" i="9"/>
  <c r="E6" i="9"/>
  <c r="E7" i="9"/>
  <c r="E8" i="9"/>
  <c r="E9" i="9"/>
  <c r="E10" i="9"/>
  <c r="E11" i="9"/>
  <c r="E12" i="9"/>
  <c r="E13" i="9"/>
  <c r="E14" i="9"/>
  <c r="E15" i="9"/>
  <c r="E5" i="9"/>
  <c r="C5" i="9"/>
  <c r="C6" i="9" s="1"/>
  <c r="C7" i="9" s="1"/>
  <c r="C8" i="9" s="1"/>
  <c r="C9" i="9" s="1"/>
  <c r="C10" i="9" s="1"/>
  <c r="C11" i="9" s="1"/>
  <c r="C12" i="9" s="1"/>
  <c r="C13" i="9" s="1"/>
  <c r="C14" i="9" s="1"/>
  <c r="C15" i="9" s="1"/>
  <c r="C16" i="9" s="1"/>
  <c r="C17" i="9" s="1"/>
  <c r="C18" i="9" s="1"/>
  <c r="B5" i="9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2" i="8"/>
  <c r="O27" i="8"/>
  <c r="O28" i="8"/>
  <c r="O29" i="8"/>
  <c r="O30" i="8"/>
  <c r="O31" i="8"/>
  <c r="O36" i="8"/>
  <c r="O35" i="8"/>
  <c r="O34" i="8"/>
  <c r="O33" i="8"/>
  <c r="O40" i="8"/>
  <c r="O39" i="8"/>
  <c r="O38" i="8"/>
  <c r="O25" i="8"/>
  <c r="O24" i="8"/>
  <c r="O23" i="8"/>
  <c r="O22" i="8"/>
  <c r="O21" i="8"/>
  <c r="O19" i="8"/>
  <c r="O18" i="8"/>
  <c r="O17" i="8"/>
  <c r="O15" i="8"/>
  <c r="O14" i="8"/>
  <c r="O13" i="8"/>
  <c r="O12" i="8"/>
  <c r="O11" i="8"/>
  <c r="O6" i="8"/>
  <c r="O7" i="8"/>
  <c r="O8" i="8"/>
  <c r="O9" i="8"/>
  <c r="O5" i="8"/>
  <c r="N21" i="8"/>
  <c r="N22" i="8"/>
  <c r="N23" i="8"/>
  <c r="N24" i="8"/>
  <c r="N25" i="8"/>
  <c r="N27" i="8"/>
  <c r="N28" i="8"/>
  <c r="N29" i="8"/>
  <c r="N30" i="8"/>
  <c r="N31" i="8"/>
  <c r="N33" i="8"/>
  <c r="N34" i="8"/>
  <c r="N35" i="8"/>
  <c r="N36" i="8"/>
  <c r="N38" i="8"/>
  <c r="N39" i="8"/>
  <c r="N40" i="8"/>
  <c r="N17" i="8"/>
  <c r="N18" i="8"/>
  <c r="N19" i="8"/>
  <c r="N12" i="8"/>
  <c r="N13" i="8"/>
  <c r="N14" i="8"/>
  <c r="N15" i="8"/>
  <c r="N11" i="8"/>
  <c r="N6" i="8"/>
  <c r="N7" i="8"/>
  <c r="N8" i="8"/>
  <c r="N9" i="8"/>
  <c r="N5" i="8"/>
  <c r="L40" i="8"/>
  <c r="K40" i="8"/>
  <c r="J40" i="8"/>
  <c r="I40" i="8"/>
  <c r="H40" i="8"/>
  <c r="G40" i="8"/>
  <c r="F40" i="8"/>
  <c r="E40" i="8"/>
  <c r="D40" i="8"/>
  <c r="L39" i="8"/>
  <c r="K39" i="8"/>
  <c r="J39" i="8"/>
  <c r="I39" i="8"/>
  <c r="H39" i="8"/>
  <c r="G39" i="8"/>
  <c r="F39" i="8"/>
  <c r="E39" i="8"/>
  <c r="D39" i="8"/>
  <c r="L38" i="8"/>
  <c r="K38" i="8"/>
  <c r="J38" i="8"/>
  <c r="I38" i="8"/>
  <c r="H38" i="8"/>
  <c r="G38" i="8"/>
  <c r="F38" i="8"/>
  <c r="E38" i="8"/>
  <c r="D38" i="8"/>
  <c r="C40" i="8"/>
  <c r="C39" i="8"/>
  <c r="C38" i="8"/>
  <c r="L35" i="8"/>
  <c r="K35" i="8"/>
  <c r="J35" i="8"/>
  <c r="I35" i="8"/>
  <c r="H35" i="8"/>
  <c r="G35" i="8"/>
  <c r="F35" i="8"/>
  <c r="E35" i="8"/>
  <c r="D35" i="8"/>
  <c r="L34" i="8"/>
  <c r="L36" i="8" s="1"/>
  <c r="K34" i="8"/>
  <c r="K36" i="8" s="1"/>
  <c r="J34" i="8"/>
  <c r="J36" i="8" s="1"/>
  <c r="I34" i="8"/>
  <c r="I36" i="8" s="1"/>
  <c r="H34" i="8"/>
  <c r="H36" i="8" s="1"/>
  <c r="G34" i="8"/>
  <c r="G36" i="8" s="1"/>
  <c r="F34" i="8"/>
  <c r="E34" i="8"/>
  <c r="D34" i="8"/>
  <c r="L33" i="8"/>
  <c r="K33" i="8"/>
  <c r="J33" i="8"/>
  <c r="I33" i="8"/>
  <c r="H33" i="8"/>
  <c r="G33" i="8"/>
  <c r="F33" i="8"/>
  <c r="F36" i="8" s="1"/>
  <c r="E33" i="8"/>
  <c r="E36" i="8" s="1"/>
  <c r="D33" i="8"/>
  <c r="D36" i="8" s="1"/>
  <c r="C36" i="8"/>
  <c r="C34" i="8"/>
  <c r="C35" i="8"/>
  <c r="C33" i="8"/>
  <c r="L31" i="8"/>
  <c r="K31" i="8"/>
  <c r="J31" i="8"/>
  <c r="I31" i="8"/>
  <c r="H31" i="8"/>
  <c r="G31" i="8"/>
  <c r="F31" i="8"/>
  <c r="E31" i="8"/>
  <c r="D31" i="8"/>
  <c r="L30" i="8"/>
  <c r="K30" i="8"/>
  <c r="J30" i="8"/>
  <c r="I30" i="8"/>
  <c r="H30" i="8"/>
  <c r="G30" i="8"/>
  <c r="F30" i="8"/>
  <c r="E30" i="8"/>
  <c r="D30" i="8"/>
  <c r="L29" i="8"/>
  <c r="K29" i="8"/>
  <c r="J29" i="8"/>
  <c r="I29" i="8"/>
  <c r="H29" i="8"/>
  <c r="G29" i="8"/>
  <c r="F29" i="8"/>
  <c r="E29" i="8"/>
  <c r="D29" i="8"/>
  <c r="L28" i="8"/>
  <c r="K28" i="8"/>
  <c r="J28" i="8"/>
  <c r="I28" i="8"/>
  <c r="H28" i="8"/>
  <c r="G28" i="8"/>
  <c r="F28" i="8"/>
  <c r="E28" i="8"/>
  <c r="D28" i="8"/>
  <c r="L27" i="8"/>
  <c r="K27" i="8"/>
  <c r="J27" i="8"/>
  <c r="I27" i="8"/>
  <c r="H27" i="8"/>
  <c r="G27" i="8"/>
  <c r="F27" i="8"/>
  <c r="E27" i="8"/>
  <c r="D27" i="8"/>
  <c r="C31" i="8"/>
  <c r="C30" i="8"/>
  <c r="C29" i="8"/>
  <c r="C28" i="8"/>
  <c r="C27" i="8"/>
  <c r="L25" i="8"/>
  <c r="K25" i="8"/>
  <c r="J25" i="8"/>
  <c r="I25" i="8"/>
  <c r="H25" i="8"/>
  <c r="G25" i="8"/>
  <c r="F25" i="8"/>
  <c r="E25" i="8"/>
  <c r="D25" i="8"/>
  <c r="L23" i="8"/>
  <c r="K23" i="8"/>
  <c r="J23" i="8"/>
  <c r="I23" i="8"/>
  <c r="H23" i="8"/>
  <c r="G23" i="8"/>
  <c r="F23" i="8"/>
  <c r="E23" i="8"/>
  <c r="D23" i="8"/>
  <c r="L22" i="8"/>
  <c r="L24" i="8" s="1"/>
  <c r="K22" i="8"/>
  <c r="K24" i="8" s="1"/>
  <c r="J22" i="8"/>
  <c r="J24" i="8" s="1"/>
  <c r="I22" i="8"/>
  <c r="I24" i="8" s="1"/>
  <c r="H22" i="8"/>
  <c r="H24" i="8" s="1"/>
  <c r="G22" i="8"/>
  <c r="G24" i="8" s="1"/>
  <c r="F22" i="8"/>
  <c r="F24" i="8" s="1"/>
  <c r="E22" i="8"/>
  <c r="E24" i="8" s="1"/>
  <c r="D22" i="8"/>
  <c r="D24" i="8" s="1"/>
  <c r="L21" i="8"/>
  <c r="K21" i="8"/>
  <c r="J21" i="8"/>
  <c r="I21" i="8"/>
  <c r="H21" i="8"/>
  <c r="G21" i="8"/>
  <c r="F21" i="8"/>
  <c r="E21" i="8"/>
  <c r="D21" i="8"/>
  <c r="C25" i="8"/>
  <c r="L9" i="8"/>
  <c r="K9" i="8"/>
  <c r="J9" i="8"/>
  <c r="I9" i="8"/>
  <c r="H9" i="8"/>
  <c r="G9" i="8"/>
  <c r="F9" i="8"/>
  <c r="E9" i="8"/>
  <c r="D9" i="8"/>
  <c r="L8" i="8"/>
  <c r="K8" i="8"/>
  <c r="J8" i="8"/>
  <c r="I8" i="8"/>
  <c r="H8" i="8"/>
  <c r="G8" i="8"/>
  <c r="F8" i="8"/>
  <c r="E8" i="8"/>
  <c r="D8" i="8"/>
  <c r="L7" i="8"/>
  <c r="K7" i="8"/>
  <c r="J7" i="8"/>
  <c r="I7" i="8"/>
  <c r="H7" i="8"/>
  <c r="G7" i="8"/>
  <c r="F7" i="8"/>
  <c r="E7" i="8"/>
  <c r="D7" i="8"/>
  <c r="L6" i="8"/>
  <c r="K6" i="8"/>
  <c r="J6" i="8"/>
  <c r="I6" i="8"/>
  <c r="H6" i="8"/>
  <c r="G6" i="8"/>
  <c r="F6" i="8"/>
  <c r="E6" i="8"/>
  <c r="D6" i="8"/>
  <c r="L5" i="8"/>
  <c r="K5" i="8"/>
  <c r="J5" i="8"/>
  <c r="I5" i="8"/>
  <c r="H5" i="8"/>
  <c r="G5" i="8"/>
  <c r="F5" i="8"/>
  <c r="E5" i="8"/>
  <c r="D5" i="8"/>
  <c r="C24" i="8"/>
  <c r="C23" i="8"/>
  <c r="C22" i="8"/>
  <c r="C21" i="8"/>
  <c r="L19" i="8"/>
  <c r="K19" i="8"/>
  <c r="J19" i="8"/>
  <c r="I19" i="8"/>
  <c r="H19" i="8"/>
  <c r="G19" i="8"/>
  <c r="F19" i="8"/>
  <c r="E19" i="8"/>
  <c r="D19" i="8"/>
  <c r="C19" i="8"/>
  <c r="L18" i="8"/>
  <c r="K18" i="8"/>
  <c r="J18" i="8"/>
  <c r="I18" i="8"/>
  <c r="H18" i="8"/>
  <c r="G18" i="8"/>
  <c r="F18" i="8"/>
  <c r="E18" i="8"/>
  <c r="D18" i="8"/>
  <c r="C18" i="8"/>
  <c r="L17" i="8"/>
  <c r="K17" i="8"/>
  <c r="J17" i="8"/>
  <c r="I17" i="8"/>
  <c r="H17" i="8"/>
  <c r="G17" i="8"/>
  <c r="F17" i="8"/>
  <c r="E17" i="8"/>
  <c r="D17" i="8"/>
  <c r="C17" i="8"/>
  <c r="L15" i="8"/>
  <c r="K15" i="8"/>
  <c r="J15" i="8"/>
  <c r="I15" i="8"/>
  <c r="H15" i="8"/>
  <c r="G15" i="8"/>
  <c r="F15" i="8"/>
  <c r="E15" i="8"/>
  <c r="D15" i="8"/>
  <c r="C15" i="8"/>
  <c r="D11" i="8"/>
  <c r="E11" i="8"/>
  <c r="F11" i="8"/>
  <c r="G11" i="8"/>
  <c r="H11" i="8"/>
  <c r="I11" i="8"/>
  <c r="J11" i="8"/>
  <c r="K11" i="8"/>
  <c r="L11" i="8"/>
  <c r="D12" i="8"/>
  <c r="E12" i="8"/>
  <c r="F12" i="8"/>
  <c r="G12" i="8"/>
  <c r="H12" i="8"/>
  <c r="I12" i="8"/>
  <c r="J12" i="8"/>
  <c r="K12" i="8"/>
  <c r="L12" i="8"/>
  <c r="D13" i="8"/>
  <c r="E13" i="8"/>
  <c r="F13" i="8"/>
  <c r="G13" i="8"/>
  <c r="H13" i="8"/>
  <c r="I13" i="8"/>
  <c r="J13" i="8"/>
  <c r="K13" i="8"/>
  <c r="L13" i="8"/>
  <c r="D14" i="8"/>
  <c r="E14" i="8"/>
  <c r="F14" i="8"/>
  <c r="G14" i="8"/>
  <c r="H14" i="8"/>
  <c r="I14" i="8"/>
  <c r="J14" i="8"/>
  <c r="K14" i="8"/>
  <c r="L14" i="8"/>
  <c r="C13" i="8"/>
  <c r="C14" i="8"/>
  <c r="C12" i="8"/>
  <c r="C11" i="8"/>
  <c r="D3" i="8"/>
  <c r="E3" i="8"/>
  <c r="F3" i="8"/>
  <c r="G3" i="8"/>
  <c r="H3" i="8"/>
  <c r="I3" i="8"/>
  <c r="J3" i="8"/>
  <c r="K3" i="8"/>
  <c r="L3" i="8"/>
  <c r="C3" i="8"/>
  <c r="B2" i="3"/>
  <c r="D78" i="3"/>
  <c r="F103" i="3"/>
  <c r="C96" i="3"/>
  <c r="C103" i="3" s="1"/>
  <c r="D96" i="3"/>
  <c r="E96" i="3"/>
  <c r="F96" i="3"/>
  <c r="G96" i="3"/>
  <c r="H96" i="3"/>
  <c r="I96" i="3"/>
  <c r="J96" i="3"/>
  <c r="K96" i="3"/>
  <c r="L96" i="3"/>
  <c r="C97" i="3"/>
  <c r="D97" i="3"/>
  <c r="E97" i="3"/>
  <c r="F97" i="3"/>
  <c r="G97" i="3"/>
  <c r="H97" i="3"/>
  <c r="I97" i="3"/>
  <c r="J97" i="3"/>
  <c r="K97" i="3"/>
  <c r="L97" i="3"/>
  <c r="C98" i="3"/>
  <c r="D98" i="3"/>
  <c r="E98" i="3"/>
  <c r="F98" i="3"/>
  <c r="G98" i="3"/>
  <c r="H98" i="3"/>
  <c r="I98" i="3"/>
  <c r="J98" i="3"/>
  <c r="K98" i="3"/>
  <c r="K103" i="3" s="1"/>
  <c r="L98" i="3"/>
  <c r="C99" i="3"/>
  <c r="D99" i="3"/>
  <c r="E99" i="3"/>
  <c r="F99" i="3"/>
  <c r="G99" i="3"/>
  <c r="H99" i="3"/>
  <c r="I99" i="3"/>
  <c r="J99" i="3"/>
  <c r="K99" i="3"/>
  <c r="L99" i="3"/>
  <c r="L103" i="3" s="1"/>
  <c r="C100" i="3"/>
  <c r="D100" i="3"/>
  <c r="E100" i="3"/>
  <c r="F100" i="3"/>
  <c r="G100" i="3"/>
  <c r="H100" i="3"/>
  <c r="I100" i="3"/>
  <c r="J100" i="3"/>
  <c r="K100" i="3"/>
  <c r="L100" i="3"/>
  <c r="C101" i="3"/>
  <c r="D101" i="3"/>
  <c r="D103" i="3" s="1"/>
  <c r="D105" i="3" s="1"/>
  <c r="E101" i="3"/>
  <c r="E103" i="3" s="1"/>
  <c r="E105" i="3" s="1"/>
  <c r="F101" i="3"/>
  <c r="G101" i="3"/>
  <c r="H101" i="3"/>
  <c r="I101" i="3"/>
  <c r="J101" i="3"/>
  <c r="K101" i="3"/>
  <c r="L101" i="3"/>
  <c r="C102" i="3"/>
  <c r="D102" i="3"/>
  <c r="E102" i="3"/>
  <c r="F102" i="3"/>
  <c r="G102" i="3"/>
  <c r="H102" i="3"/>
  <c r="I102" i="3"/>
  <c r="J102" i="3"/>
  <c r="K102" i="3"/>
  <c r="L102" i="3"/>
  <c r="D95" i="3"/>
  <c r="E95" i="3"/>
  <c r="F95" i="3"/>
  <c r="G95" i="3"/>
  <c r="G103" i="3" s="1"/>
  <c r="H95" i="3"/>
  <c r="H103" i="3" s="1"/>
  <c r="I95" i="3"/>
  <c r="I103" i="3" s="1"/>
  <c r="J95" i="3"/>
  <c r="J103" i="3" s="1"/>
  <c r="K95" i="3"/>
  <c r="L95" i="3"/>
  <c r="C95" i="3"/>
  <c r="L92" i="3"/>
  <c r="C82" i="3"/>
  <c r="C92" i="3" s="1"/>
  <c r="D82" i="3"/>
  <c r="E82" i="3"/>
  <c r="F82" i="3"/>
  <c r="G82" i="3"/>
  <c r="H82" i="3"/>
  <c r="I82" i="3"/>
  <c r="J82" i="3"/>
  <c r="K82" i="3"/>
  <c r="L82" i="3"/>
  <c r="C83" i="3"/>
  <c r="D83" i="3"/>
  <c r="E83" i="3"/>
  <c r="F83" i="3"/>
  <c r="G83" i="3"/>
  <c r="H83" i="3"/>
  <c r="I83" i="3"/>
  <c r="J83" i="3"/>
  <c r="K83" i="3"/>
  <c r="L83" i="3"/>
  <c r="C84" i="3"/>
  <c r="D84" i="3"/>
  <c r="E84" i="3"/>
  <c r="F84" i="3"/>
  <c r="G84" i="3"/>
  <c r="H84" i="3"/>
  <c r="I84" i="3"/>
  <c r="J84" i="3"/>
  <c r="K84" i="3"/>
  <c r="L84" i="3"/>
  <c r="C85" i="3"/>
  <c r="D85" i="3"/>
  <c r="E85" i="3"/>
  <c r="F85" i="3"/>
  <c r="G85" i="3"/>
  <c r="H85" i="3"/>
  <c r="I85" i="3"/>
  <c r="J85" i="3"/>
  <c r="K85" i="3"/>
  <c r="L85" i="3"/>
  <c r="C86" i="3"/>
  <c r="D86" i="3"/>
  <c r="E86" i="3"/>
  <c r="F86" i="3"/>
  <c r="G86" i="3"/>
  <c r="H86" i="3"/>
  <c r="I86" i="3"/>
  <c r="J86" i="3"/>
  <c r="K86" i="3"/>
  <c r="L86" i="3"/>
  <c r="C87" i="3"/>
  <c r="D87" i="3"/>
  <c r="E87" i="3"/>
  <c r="F87" i="3"/>
  <c r="G87" i="3"/>
  <c r="H87" i="3"/>
  <c r="I87" i="3"/>
  <c r="J87" i="3"/>
  <c r="K87" i="3"/>
  <c r="K92" i="3" s="1"/>
  <c r="L87" i="3"/>
  <c r="C88" i="3"/>
  <c r="D88" i="3"/>
  <c r="E88" i="3"/>
  <c r="F88" i="3"/>
  <c r="G88" i="3"/>
  <c r="H88" i="3"/>
  <c r="I88" i="3"/>
  <c r="J88" i="3"/>
  <c r="K88" i="3"/>
  <c r="L88" i="3"/>
  <c r="C89" i="3"/>
  <c r="D89" i="3"/>
  <c r="E89" i="3"/>
  <c r="F89" i="3"/>
  <c r="G89" i="3"/>
  <c r="H89" i="3"/>
  <c r="I89" i="3"/>
  <c r="J89" i="3"/>
  <c r="K89" i="3"/>
  <c r="L89" i="3"/>
  <c r="C90" i="3"/>
  <c r="D90" i="3"/>
  <c r="E90" i="3"/>
  <c r="F90" i="3"/>
  <c r="G90" i="3"/>
  <c r="H90" i="3"/>
  <c r="I90" i="3"/>
  <c r="J90" i="3"/>
  <c r="K90" i="3"/>
  <c r="L90" i="3"/>
  <c r="C91" i="3"/>
  <c r="D91" i="3"/>
  <c r="E91" i="3"/>
  <c r="F91" i="3"/>
  <c r="G91" i="3"/>
  <c r="H91" i="3"/>
  <c r="I91" i="3"/>
  <c r="J91" i="3"/>
  <c r="K91" i="3"/>
  <c r="L91" i="3"/>
  <c r="D81" i="3"/>
  <c r="D92" i="3" s="1"/>
  <c r="E81" i="3"/>
  <c r="E92" i="3" s="1"/>
  <c r="F81" i="3"/>
  <c r="F92" i="3" s="1"/>
  <c r="F105" i="3" s="1"/>
  <c r="G81" i="3"/>
  <c r="G92" i="3" s="1"/>
  <c r="H81" i="3"/>
  <c r="H92" i="3" s="1"/>
  <c r="I81" i="3"/>
  <c r="I92" i="3" s="1"/>
  <c r="J81" i="3"/>
  <c r="J92" i="3" s="1"/>
  <c r="K81" i="3"/>
  <c r="L81" i="3"/>
  <c r="C81" i="3"/>
  <c r="C71" i="3"/>
  <c r="D71" i="3"/>
  <c r="E71" i="3"/>
  <c r="F71" i="3"/>
  <c r="G71" i="3"/>
  <c r="H71" i="3"/>
  <c r="I71" i="3"/>
  <c r="J71" i="3"/>
  <c r="K71" i="3"/>
  <c r="L71" i="3"/>
  <c r="C72" i="3"/>
  <c r="D72" i="3"/>
  <c r="E72" i="3"/>
  <c r="F72" i="3"/>
  <c r="G72" i="3"/>
  <c r="H72" i="3"/>
  <c r="I72" i="3"/>
  <c r="J72" i="3"/>
  <c r="K72" i="3"/>
  <c r="L72" i="3"/>
  <c r="C73" i="3"/>
  <c r="D73" i="3"/>
  <c r="E73" i="3"/>
  <c r="F73" i="3"/>
  <c r="G73" i="3"/>
  <c r="H73" i="3"/>
  <c r="I73" i="3"/>
  <c r="J73" i="3"/>
  <c r="K73" i="3"/>
  <c r="L73" i="3"/>
  <c r="C74" i="3"/>
  <c r="D74" i="3"/>
  <c r="E74" i="3"/>
  <c r="F74" i="3"/>
  <c r="G74" i="3"/>
  <c r="H74" i="3"/>
  <c r="I74" i="3"/>
  <c r="J74" i="3"/>
  <c r="K74" i="3"/>
  <c r="L74" i="3"/>
  <c r="C75" i="3"/>
  <c r="D75" i="3"/>
  <c r="E75" i="3"/>
  <c r="F75" i="3"/>
  <c r="G75" i="3"/>
  <c r="H75" i="3"/>
  <c r="I75" i="3"/>
  <c r="J75" i="3"/>
  <c r="K75" i="3"/>
  <c r="L75" i="3"/>
  <c r="C76" i="3"/>
  <c r="D76" i="3"/>
  <c r="E76" i="3"/>
  <c r="F76" i="3"/>
  <c r="G76" i="3"/>
  <c r="H76" i="3"/>
  <c r="I76" i="3"/>
  <c r="J76" i="3"/>
  <c r="K76" i="3"/>
  <c r="L76" i="3"/>
  <c r="C77" i="3"/>
  <c r="D77" i="3"/>
  <c r="E77" i="3"/>
  <c r="F77" i="3"/>
  <c r="G77" i="3"/>
  <c r="H77" i="3"/>
  <c r="I77" i="3"/>
  <c r="J77" i="3"/>
  <c r="K77" i="3"/>
  <c r="L77" i="3"/>
  <c r="D70" i="3"/>
  <c r="E70" i="3"/>
  <c r="E78" i="3" s="1"/>
  <c r="F70" i="3"/>
  <c r="F78" i="3" s="1"/>
  <c r="G70" i="3"/>
  <c r="G78" i="3" s="1"/>
  <c r="H70" i="3"/>
  <c r="H78" i="3" s="1"/>
  <c r="I70" i="3"/>
  <c r="I78" i="3" s="1"/>
  <c r="J70" i="3"/>
  <c r="J78" i="3" s="1"/>
  <c r="K70" i="3"/>
  <c r="K78" i="3" s="1"/>
  <c r="L70" i="3"/>
  <c r="L78" i="3" s="1"/>
  <c r="C6" i="3"/>
  <c r="C70" i="3"/>
  <c r="C78" i="3" s="1"/>
  <c r="L66" i="3"/>
  <c r="K66" i="3"/>
  <c r="J66" i="3"/>
  <c r="I66" i="3"/>
  <c r="H66" i="3"/>
  <c r="G66" i="3"/>
  <c r="F66" i="3"/>
  <c r="E66" i="3"/>
  <c r="D66" i="3"/>
  <c r="C66" i="3"/>
  <c r="L64" i="3"/>
  <c r="K64" i="3"/>
  <c r="J64" i="3"/>
  <c r="I64" i="3"/>
  <c r="H64" i="3"/>
  <c r="G64" i="3"/>
  <c r="F64" i="3"/>
  <c r="E64" i="3"/>
  <c r="D64" i="3"/>
  <c r="C64" i="3"/>
  <c r="L57" i="3"/>
  <c r="K57" i="3"/>
  <c r="J57" i="3"/>
  <c r="I57" i="3"/>
  <c r="H57" i="3"/>
  <c r="G57" i="3"/>
  <c r="F57" i="3"/>
  <c r="E57" i="3"/>
  <c r="D57" i="3"/>
  <c r="C57" i="3"/>
  <c r="L56" i="3"/>
  <c r="K56" i="3"/>
  <c r="J56" i="3"/>
  <c r="I56" i="3"/>
  <c r="H56" i="3"/>
  <c r="G56" i="3"/>
  <c r="F56" i="3"/>
  <c r="E56" i="3"/>
  <c r="D56" i="3"/>
  <c r="C56" i="3"/>
  <c r="L62" i="3"/>
  <c r="K62" i="3"/>
  <c r="J62" i="3"/>
  <c r="I62" i="3"/>
  <c r="H62" i="3"/>
  <c r="G62" i="3"/>
  <c r="F62" i="3"/>
  <c r="E62" i="3"/>
  <c r="D62" i="3"/>
  <c r="C62" i="3"/>
  <c r="D59" i="3"/>
  <c r="E59" i="3"/>
  <c r="F59" i="3"/>
  <c r="G59" i="3"/>
  <c r="H59" i="3"/>
  <c r="I59" i="3"/>
  <c r="J59" i="3"/>
  <c r="K59" i="3"/>
  <c r="L59" i="3"/>
  <c r="D60" i="3"/>
  <c r="E60" i="3"/>
  <c r="F60" i="3"/>
  <c r="G60" i="3"/>
  <c r="H60" i="3"/>
  <c r="I60" i="3"/>
  <c r="J60" i="3"/>
  <c r="K60" i="3"/>
  <c r="L60" i="3"/>
  <c r="D61" i="3"/>
  <c r="E61" i="3"/>
  <c r="F61" i="3"/>
  <c r="G61" i="3"/>
  <c r="H61" i="3"/>
  <c r="I61" i="3"/>
  <c r="J61" i="3"/>
  <c r="K61" i="3"/>
  <c r="L61" i="3"/>
  <c r="C60" i="3"/>
  <c r="C61" i="3"/>
  <c r="C59" i="3"/>
  <c r="L55" i="3"/>
  <c r="K55" i="3"/>
  <c r="J55" i="3"/>
  <c r="I55" i="3"/>
  <c r="H55" i="3"/>
  <c r="G55" i="3"/>
  <c r="F55" i="3"/>
  <c r="E55" i="3"/>
  <c r="D55" i="3"/>
  <c r="C55" i="3"/>
  <c r="L54" i="3"/>
  <c r="K54" i="3"/>
  <c r="J54" i="3"/>
  <c r="I54" i="3"/>
  <c r="H54" i="3"/>
  <c r="G54" i="3"/>
  <c r="F54" i="3"/>
  <c r="E54" i="3"/>
  <c r="D54" i="3"/>
  <c r="C54" i="3"/>
  <c r="L53" i="3"/>
  <c r="K53" i="3"/>
  <c r="J53" i="3"/>
  <c r="I53" i="3"/>
  <c r="H53" i="3"/>
  <c r="G53" i="3"/>
  <c r="F53" i="3"/>
  <c r="E53" i="3"/>
  <c r="D53" i="3"/>
  <c r="C53" i="3"/>
  <c r="C48" i="3"/>
  <c r="D48" i="3"/>
  <c r="E48" i="3"/>
  <c r="F48" i="3"/>
  <c r="G48" i="3"/>
  <c r="H48" i="3"/>
  <c r="I48" i="3"/>
  <c r="J48" i="3"/>
  <c r="K48" i="3"/>
  <c r="L48" i="3"/>
  <c r="C49" i="3"/>
  <c r="D49" i="3"/>
  <c r="E49" i="3"/>
  <c r="F49" i="3"/>
  <c r="G49" i="3"/>
  <c r="H49" i="3"/>
  <c r="I49" i="3"/>
  <c r="J49" i="3"/>
  <c r="K49" i="3"/>
  <c r="L49" i="3"/>
  <c r="C50" i="3"/>
  <c r="D50" i="3"/>
  <c r="E50" i="3"/>
  <c r="F50" i="3"/>
  <c r="G50" i="3"/>
  <c r="H50" i="3"/>
  <c r="I50" i="3"/>
  <c r="J50" i="3"/>
  <c r="K50" i="3"/>
  <c r="L50" i="3"/>
  <c r="C51" i="3"/>
  <c r="D51" i="3"/>
  <c r="E51" i="3"/>
  <c r="F51" i="3"/>
  <c r="G51" i="3"/>
  <c r="H51" i="3"/>
  <c r="I51" i="3"/>
  <c r="J51" i="3"/>
  <c r="K51" i="3"/>
  <c r="L51" i="3"/>
  <c r="D47" i="3"/>
  <c r="E47" i="3"/>
  <c r="F47" i="3"/>
  <c r="G47" i="3"/>
  <c r="H47" i="3"/>
  <c r="I47" i="3"/>
  <c r="J47" i="3"/>
  <c r="K47" i="3"/>
  <c r="L47" i="3"/>
  <c r="C47" i="3"/>
  <c r="M36" i="3"/>
  <c r="M41" i="3" s="1"/>
  <c r="L36" i="3"/>
  <c r="L41" i="3" s="1"/>
  <c r="K36" i="3"/>
  <c r="K41" i="3" s="1"/>
  <c r="J36" i="3"/>
  <c r="J41" i="3" s="1"/>
  <c r="I36" i="3"/>
  <c r="I41" i="3" s="1"/>
  <c r="H36" i="3"/>
  <c r="H41" i="3" s="1"/>
  <c r="G36" i="3"/>
  <c r="G41" i="3" s="1"/>
  <c r="F36" i="3"/>
  <c r="F41" i="3" s="1"/>
  <c r="E36" i="3"/>
  <c r="E41" i="3" s="1"/>
  <c r="D36" i="3"/>
  <c r="D41" i="3" s="1"/>
  <c r="C36" i="3"/>
  <c r="C41" i="3" s="1"/>
  <c r="M33" i="3"/>
  <c r="M30" i="3"/>
  <c r="L30" i="3"/>
  <c r="K30" i="3"/>
  <c r="J30" i="3"/>
  <c r="I30" i="3"/>
  <c r="H30" i="3"/>
  <c r="G30" i="3"/>
  <c r="F30" i="3"/>
  <c r="E30" i="3"/>
  <c r="D30" i="3"/>
  <c r="C30" i="3"/>
  <c r="M27" i="3"/>
  <c r="M28" i="3" s="1"/>
  <c r="M24" i="3"/>
  <c r="L24" i="3"/>
  <c r="K24" i="3"/>
  <c r="J24" i="3"/>
  <c r="I24" i="3"/>
  <c r="H24" i="3"/>
  <c r="G24" i="3"/>
  <c r="F24" i="3"/>
  <c r="E24" i="3"/>
  <c r="D24" i="3"/>
  <c r="C24" i="3"/>
  <c r="M21" i="3"/>
  <c r="L21" i="3"/>
  <c r="K21" i="3"/>
  <c r="J21" i="3"/>
  <c r="I21" i="3"/>
  <c r="H21" i="3"/>
  <c r="G21" i="3"/>
  <c r="F21" i="3"/>
  <c r="E21" i="3"/>
  <c r="D21" i="3"/>
  <c r="C21" i="3"/>
  <c r="D15" i="3"/>
  <c r="E15" i="3"/>
  <c r="F15" i="3"/>
  <c r="G15" i="3"/>
  <c r="H15" i="3"/>
  <c r="I15" i="3"/>
  <c r="J15" i="3"/>
  <c r="K15" i="3"/>
  <c r="L15" i="3"/>
  <c r="M15" i="3"/>
  <c r="C15" i="3"/>
  <c r="M9" i="3"/>
  <c r="M10" i="3"/>
  <c r="D9" i="3"/>
  <c r="E9" i="3"/>
  <c r="F9" i="3"/>
  <c r="G9" i="3"/>
  <c r="H9" i="3"/>
  <c r="I9" i="3"/>
  <c r="J9" i="3"/>
  <c r="K9" i="3"/>
  <c r="L9" i="3"/>
  <c r="C9" i="3"/>
  <c r="M6" i="3"/>
  <c r="M12" i="3" s="1"/>
  <c r="M13" i="3" s="1"/>
  <c r="L18" i="9" l="1"/>
  <c r="O17" i="9"/>
  <c r="B17" i="9"/>
  <c r="E16" i="9"/>
  <c r="K105" i="3"/>
  <c r="I105" i="3"/>
  <c r="J105" i="3"/>
  <c r="L105" i="3"/>
  <c r="H105" i="3"/>
  <c r="G105" i="3"/>
  <c r="M22" i="3"/>
  <c r="M31" i="3"/>
  <c r="M34" i="3"/>
  <c r="M38" i="3"/>
  <c r="M16" i="3"/>
  <c r="M25" i="3"/>
  <c r="M19" i="3"/>
  <c r="O18" i="9" l="1"/>
  <c r="B18" i="9"/>
  <c r="E17" i="9"/>
  <c r="M44" i="3"/>
  <c r="E18" i="9" l="1"/>
  <c r="L6" i="3"/>
  <c r="K6" i="3"/>
  <c r="J6" i="3"/>
  <c r="I6" i="3"/>
  <c r="H6" i="3"/>
  <c r="G6" i="3"/>
  <c r="F6" i="3"/>
  <c r="E6" i="3"/>
  <c r="D6" i="3"/>
  <c r="K3" i="3"/>
  <c r="L3" i="3"/>
  <c r="D3" i="3"/>
  <c r="E3" i="3"/>
  <c r="F3" i="3"/>
  <c r="G3" i="3"/>
  <c r="H3" i="3"/>
  <c r="I3" i="3"/>
  <c r="J3" i="3"/>
  <c r="C3" i="3"/>
  <c r="B6" i="1"/>
  <c r="E1" i="1"/>
  <c r="F10" i="3" l="1"/>
  <c r="F22" i="3"/>
  <c r="F12" i="3"/>
  <c r="F7" i="3"/>
  <c r="F25" i="3"/>
  <c r="F16" i="3"/>
  <c r="G22" i="3"/>
  <c r="G10" i="3"/>
  <c r="G7" i="3"/>
  <c r="G25" i="3"/>
  <c r="G12" i="3"/>
  <c r="G16" i="3"/>
  <c r="H22" i="3"/>
  <c r="H7" i="3"/>
  <c r="H25" i="3"/>
  <c r="H10" i="3"/>
  <c r="H12" i="3"/>
  <c r="H16" i="3"/>
  <c r="I22" i="3"/>
  <c r="I7" i="3"/>
  <c r="I25" i="3"/>
  <c r="I10" i="3"/>
  <c r="I12" i="3"/>
  <c r="I16" i="3"/>
  <c r="J7" i="3"/>
  <c r="J25" i="3"/>
  <c r="J10" i="3"/>
  <c r="J22" i="3"/>
  <c r="J12" i="3"/>
  <c r="J16" i="3"/>
  <c r="K7" i="3"/>
  <c r="K25" i="3"/>
  <c r="K10" i="3"/>
  <c r="K12" i="3"/>
  <c r="K22" i="3"/>
  <c r="K16" i="3"/>
  <c r="L7" i="3"/>
  <c r="L25" i="3"/>
  <c r="L10" i="3"/>
  <c r="L22" i="3"/>
  <c r="L12" i="3"/>
  <c r="M7" i="3"/>
  <c r="L16" i="3"/>
  <c r="C22" i="3"/>
  <c r="C25" i="3"/>
  <c r="C12" i="3"/>
  <c r="C10" i="3"/>
  <c r="C16" i="3"/>
  <c r="D12" i="3"/>
  <c r="D22" i="3"/>
  <c r="D7" i="3"/>
  <c r="D25" i="3"/>
  <c r="D16" i="3"/>
  <c r="D10" i="3"/>
  <c r="E10" i="3"/>
  <c r="E12" i="3"/>
  <c r="E22" i="3"/>
  <c r="E7" i="3"/>
  <c r="E25" i="3"/>
  <c r="E16" i="3"/>
  <c r="F18" i="3" l="1"/>
  <c r="F13" i="3"/>
  <c r="I18" i="3"/>
  <c r="I13" i="3"/>
  <c r="G18" i="3"/>
  <c r="G13" i="3"/>
  <c r="C18" i="3"/>
  <c r="C13" i="3"/>
  <c r="K18" i="3"/>
  <c r="K13" i="3"/>
  <c r="E18" i="3"/>
  <c r="E13" i="3"/>
  <c r="L18" i="3"/>
  <c r="L13" i="3"/>
  <c r="J18" i="3"/>
  <c r="J13" i="3"/>
  <c r="H18" i="3"/>
  <c r="H13" i="3"/>
  <c r="D18" i="3"/>
  <c r="D13" i="3"/>
  <c r="E19" i="3" l="1"/>
  <c r="E27" i="3"/>
  <c r="K19" i="3"/>
  <c r="K27" i="3"/>
  <c r="D19" i="3"/>
  <c r="D27" i="3"/>
  <c r="C19" i="3"/>
  <c r="C27" i="3"/>
  <c r="H19" i="3"/>
  <c r="H27" i="3"/>
  <c r="G19" i="3"/>
  <c r="G27" i="3"/>
  <c r="J19" i="3"/>
  <c r="J27" i="3"/>
  <c r="I19" i="3"/>
  <c r="I27" i="3"/>
  <c r="L19" i="3"/>
  <c r="L27" i="3"/>
  <c r="F19" i="3"/>
  <c r="F27" i="3"/>
  <c r="G28" i="3" l="1"/>
  <c r="G31" i="3"/>
  <c r="G33" i="3"/>
  <c r="H28" i="3"/>
  <c r="H31" i="3"/>
  <c r="H33" i="3"/>
  <c r="C28" i="3"/>
  <c r="C31" i="3"/>
  <c r="C33" i="3"/>
  <c r="D31" i="3"/>
  <c r="D28" i="3"/>
  <c r="D33" i="3"/>
  <c r="F31" i="3"/>
  <c r="F28" i="3"/>
  <c r="F33" i="3"/>
  <c r="L33" i="3"/>
  <c r="L31" i="3"/>
  <c r="L28" i="3"/>
  <c r="I28" i="3"/>
  <c r="I31" i="3"/>
  <c r="I33" i="3"/>
  <c r="K28" i="3"/>
  <c r="K33" i="3"/>
  <c r="K31" i="3"/>
  <c r="J28" i="3"/>
  <c r="J33" i="3"/>
  <c r="J31" i="3"/>
  <c r="E31" i="3"/>
  <c r="E28" i="3"/>
  <c r="E33" i="3"/>
  <c r="K34" i="3" l="1"/>
  <c r="K38" i="3"/>
  <c r="I38" i="3"/>
  <c r="I34" i="3"/>
  <c r="E34" i="3"/>
  <c r="E38" i="3"/>
  <c r="L34" i="3"/>
  <c r="L38" i="3"/>
  <c r="F34" i="3"/>
  <c r="F38" i="3"/>
  <c r="G34" i="3"/>
  <c r="G38" i="3"/>
  <c r="D34" i="3"/>
  <c r="D38" i="3"/>
  <c r="C38" i="3"/>
  <c r="C34" i="3"/>
  <c r="H34" i="3"/>
  <c r="H38" i="3"/>
  <c r="J34" i="3"/>
  <c r="J38" i="3"/>
  <c r="G42" i="3" l="1"/>
  <c r="G44" i="3"/>
  <c r="G39" i="3"/>
  <c r="F42" i="3"/>
  <c r="F44" i="3"/>
  <c r="F39" i="3"/>
  <c r="J44" i="3"/>
  <c r="J42" i="3"/>
  <c r="J39" i="3"/>
  <c r="L42" i="3"/>
  <c r="L39" i="3"/>
  <c r="L44" i="3"/>
  <c r="M39" i="3"/>
  <c r="H44" i="3"/>
  <c r="H39" i="3"/>
  <c r="H42" i="3"/>
  <c r="E39" i="3"/>
  <c r="E42" i="3"/>
  <c r="E44" i="3" s="1"/>
  <c r="C42" i="3"/>
  <c r="C39" i="3"/>
  <c r="C44" i="3"/>
  <c r="I39" i="3"/>
  <c r="I42" i="3"/>
  <c r="I44" i="3"/>
  <c r="D39" i="3"/>
  <c r="D42" i="3"/>
  <c r="D44" i="3" s="1"/>
  <c r="K39" i="3"/>
  <c r="K42" i="3"/>
  <c r="K44" i="3" s="1"/>
</calcChain>
</file>

<file path=xl/sharedStrings.xml><?xml version="1.0" encoding="utf-8"?>
<sst xmlns="http://schemas.openxmlformats.org/spreadsheetml/2006/main" count="236" uniqueCount="159">
  <si>
    <t>COMPANY NAME</t>
  </si>
  <si>
    <t>TATA MOTORS PASSENGER VEHICLES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</si>
  <si>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</si>
  <si>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</si>
  <si>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</si>
  <si>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</si>
  <si>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</si>
  <si>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</si>
  <si>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</si>
  <si>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</si>
  <si>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</si>
  <si>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</si>
  <si>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</si>
  <si>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</si>
  <si>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</si>
  <si>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</si>
  <si>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</si>
  <si>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</si>
  <si>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</si>
  <si>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</si>
  <si>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</si>
  <si>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</si>
  <si>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</si>
  <si>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</si>
  <si>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</si>
  <si>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</si>
  <si>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</si>
  <si>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</si>
  <si>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</si>
  <si>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</si>
  <si>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</si>
  <si>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</si>
  <si>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</si>
  <si>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</si>
  <si>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</si>
  <si>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</si>
  <si>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</si>
  <si>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</si>
  <si>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</si>
  <si>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</si>
  <si>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</si>
  <si>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</si>
  <si>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</si>
  <si>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</si>
  <si>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</si>
  <si>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</si>
  <si>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</si>
  <si>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</si>
  <si>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</si>
  <si>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</si>
  <si>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</si>
  <si>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</si>
  <si>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</si>
  <si>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</si>
  <si>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Years</t>
  </si>
  <si>
    <t>LTM</t>
  </si>
  <si>
    <t>Income Statement</t>
  </si>
  <si>
    <t>#</t>
  </si>
  <si>
    <t>Sales Growth</t>
  </si>
  <si>
    <t>-</t>
  </si>
  <si>
    <t>COGS</t>
  </si>
  <si>
    <t>COGS % Sales</t>
  </si>
  <si>
    <t>Gross Profit</t>
  </si>
  <si>
    <t>Selling &amp; General Expenses</t>
  </si>
  <si>
    <t>S&amp;G Expenses % Sales</t>
  </si>
  <si>
    <t>EBITDA</t>
  </si>
  <si>
    <t>EBITDA Margins</t>
  </si>
  <si>
    <t>Interest % Sales</t>
  </si>
  <si>
    <t>Depriciation</t>
  </si>
  <si>
    <t>Depriciation % Sales</t>
  </si>
  <si>
    <t>Gross Margins</t>
  </si>
  <si>
    <t>Earnings Before Tax EBT</t>
  </si>
  <si>
    <t>EBT % Sales</t>
  </si>
  <si>
    <t>Effective Tax Rate</t>
  </si>
  <si>
    <t>Net Profit</t>
  </si>
  <si>
    <t>Net Margins</t>
  </si>
  <si>
    <t>Earning Per Share EPS</t>
  </si>
  <si>
    <t>Dividend Per Share DPS</t>
  </si>
  <si>
    <t>EPS Growth %</t>
  </si>
  <si>
    <t>Dividend Payout Ratio</t>
  </si>
  <si>
    <t>Retained Earnings</t>
  </si>
  <si>
    <t>Balance Sheet</t>
  </si>
  <si>
    <t>Total Liabilities</t>
  </si>
  <si>
    <t>Fixed Assests Net Block</t>
  </si>
  <si>
    <t>Total Assests</t>
  </si>
  <si>
    <t>Total Non Current Assests</t>
  </si>
  <si>
    <t>Total Current Assests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</si>
  <si>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</si>
  <si>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</si>
  <si>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</si>
  <si>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</si>
  <si>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</si>
  <si>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</si>
  <si>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</si>
  <si>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</si>
  <si>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</si>
  <si>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</si>
  <si>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</si>
  <si>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</si>
  <si>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</si>
  <si>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</si>
  <si>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</si>
  <si>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</si>
  <si>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</si>
  <si>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</si>
  <si>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</si>
  <si>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</si>
  <si>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</si>
  <si>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</si>
  <si>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</si>
  <si>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</si>
  <si>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</si>
  <si>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</si>
  <si>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 xml:space="preserve"> </t>
  </si>
  <si>
    <t xml:space="preserve">Net Cash Flow </t>
  </si>
  <si>
    <t xml:space="preserve">Free Cash Flow </t>
  </si>
  <si>
    <t xml:space="preserve">CFO/OP </t>
  </si>
  <si>
    <t>Cash Flow Statement</t>
  </si>
  <si>
    <t>Cash from Operating Activities</t>
  </si>
  <si>
    <t>Cash from Financial Activities</t>
  </si>
  <si>
    <t>Cash from Investing Activities</t>
  </si>
  <si>
    <t>Operating Activities</t>
  </si>
  <si>
    <t>Investing Activities</t>
  </si>
  <si>
    <t>Financing Activities</t>
  </si>
  <si>
    <t>Cash From Financing Activities</t>
  </si>
  <si>
    <t>EBITDA Growth</t>
  </si>
  <si>
    <t>EBIT Growth</t>
  </si>
  <si>
    <t>Net Profit Growth</t>
  </si>
  <si>
    <t>Dividend Growth</t>
  </si>
  <si>
    <t>Net Profit Margins</t>
  </si>
  <si>
    <t>EBT Margins</t>
  </si>
  <si>
    <t>EBIT Margins</t>
  </si>
  <si>
    <t>Sales Expenses % Sales</t>
  </si>
  <si>
    <t>Depreciation % Sales</t>
  </si>
  <si>
    <t>Operating Income % Sales</t>
  </si>
  <si>
    <t>Return on Capital Employed</t>
  </si>
  <si>
    <t>Self Sustained Growth Rate</t>
  </si>
  <si>
    <t>Interest Coverage Ratio</t>
  </si>
  <si>
    <t>Return on Earnings %</t>
  </si>
  <si>
    <t>Return on Equity %</t>
  </si>
  <si>
    <t>Debtor Turnover Ratio</t>
  </si>
  <si>
    <t>Creditor Turnover Ratio</t>
  </si>
  <si>
    <t>Inventory Turnover Ratio</t>
  </si>
  <si>
    <t>Fixed Assest Turnover Ratio</t>
  </si>
  <si>
    <t>Capital Turnover Ratio</t>
  </si>
  <si>
    <t>Debtor Days</t>
  </si>
  <si>
    <t>Payable Days</t>
  </si>
  <si>
    <t>Inventory Days</t>
  </si>
  <si>
    <t>Cash Conversion Cycle (in days)</t>
  </si>
  <si>
    <t>CFO/Sales</t>
  </si>
  <si>
    <t>CFO/Total Assets</t>
  </si>
  <si>
    <t>CFO/Total Debt</t>
  </si>
  <si>
    <t>Mean</t>
  </si>
  <si>
    <t>Median</t>
  </si>
  <si>
    <t>Trend</t>
  </si>
  <si>
    <t>Year</t>
  </si>
  <si>
    <t>Year Weight</t>
  </si>
  <si>
    <t xml:space="preserve">Earnings per Share </t>
  </si>
  <si>
    <t>EPS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</si>
</sst>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[$-409]mmm\-yy;@"/>
    <numFmt numFmtId="165" formatCode="_(* #,##0.00_);_(* \(#,##0.00\);_(* &quot;-&quot;??_);_(@_)"/>
    <numFmt numFmtId="166" formatCode="&quot;₹&quot;\ #,##0.0;\(&quot;₹&quot;\ #,##0.0\);\-"/>
    <numFmt numFmtId="167" formatCode="0.00&quot;x&quot;"/>
    <numFmt numFmtId="168" formatCode="0&quot; Days&quot;"/>
    <numFmt numFmtId="169" formatCode="0.0"/>
    <numFmt numFmtId="170" formatCode="0&quot;A&quot;"/>
    <numFmt numFmtId="171" formatCode="0&quot;E&quot;"/>
  </numFmts>
  <fonts count="16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</font>
    <font>
      <i/>
      <sz val="11"/>
      <color theme="0" tint="-0.499984740745262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0"/>
      <name val="Calibri"/>
      <family val="2"/>
      <scheme val="minor"/>
    </font>
    <font>
      <sz val="11"/>
      <color theme="1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 style="dotted">
        <color rgb="FF002060"/>
      </top>
      <bottom style="dotted">
        <color rgb="FF002060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otted">
        <color rgb="FF002060"/>
      </top>
      <bottom/>
      <diagonal/>
    </border>
    <border>
      <left/>
      <right/>
      <top/>
      <bottom style="dotted">
        <color rgb="FF002060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 applyNumberFormat="0" applyFill="0" applyBorder="0" applyAlignment="0" applyProtection="0"/>
    <xf numFmtId="43" fontId="6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14" fillId="2" borderId="0" applyNumberFormat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5" fillId="0" borderId="0"/>
  </cellStyleXfs>
  <cellXfs count="80">
    <xf numFmtId="0" fontId="0" fillId="0" borderId="0" xfId="0"/>
    <xf numFmtId="43" fontId="7" fillId="0" borderId="0" xfId="1" applyFont="1" applyBorder="1"/>
    <xf numFmtId="43" fontId="0" fillId="0" borderId="0" xfId="1" applyFont="1" applyBorder="1"/>
    <xf numFmtId="164" fontId="8" fillId="3" borderId="0" xfId="1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9" fillId="0" borderId="0" xfId="1" applyNumberFormat="1" applyFont="1" applyFill="1" applyBorder="1"/>
    <xf numFmtId="43" fontId="6" fillId="0" borderId="0" xfId="1" applyFont="1" applyBorder="1"/>
    <xf numFmtId="165" fontId="0" fillId="0" borderId="0" xfId="1" applyNumberFormat="1" applyFont="1" applyBorder="1"/>
    <xf numFmtId="0" fontId="3" fillId="0" borderId="0" xfId="0" applyFont="1"/>
    <xf numFmtId="17" fontId="0" fillId="0" borderId="0" xfId="0" applyNumberFormat="1"/>
    <xf numFmtId="17" fontId="2" fillId="4" borderId="0" xfId="0" applyNumberFormat="1" applyFont="1" applyFill="1"/>
    <xf numFmtId="0" fontId="2" fillId="5" borderId="0" xfId="0" applyFont="1" applyFill="1"/>
    <xf numFmtId="166" fontId="0" fillId="0" borderId="0" xfId="0" applyNumberFormat="1"/>
    <xf numFmtId="10" fontId="0" fillId="0" borderId="0" xfId="2" applyNumberFormat="1" applyFont="1"/>
    <xf numFmtId="0" fontId="11" fillId="0" borderId="0" xfId="0" applyFont="1"/>
    <xf numFmtId="0" fontId="11" fillId="0" borderId="0" xfId="0" applyFont="1" applyAlignment="1">
      <alignment horizontal="right"/>
    </xf>
    <xf numFmtId="10" fontId="11" fillId="0" borderId="0" xfId="2" applyNumberFormat="1" applyFont="1"/>
    <xf numFmtId="0" fontId="12" fillId="5" borderId="0" xfId="0" applyFont="1" applyFill="1"/>
    <xf numFmtId="17" fontId="12" fillId="5" borderId="0" xfId="0" applyNumberFormat="1" applyFont="1" applyFill="1"/>
    <xf numFmtId="17" fontId="12" fillId="5" borderId="0" xfId="0" applyNumberFormat="1" applyFont="1" applyFill="1" applyAlignment="1">
      <alignment horizontal="right"/>
    </xf>
    <xf numFmtId="0" fontId="13" fillId="5" borderId="0" xfId="0" applyFont="1" applyFill="1"/>
    <xf numFmtId="0" fontId="3" fillId="6" borderId="0" xfId="0" applyFont="1" applyFill="1"/>
    <xf numFmtId="0" fontId="0" fillId="6" borderId="0" xfId="0" applyFill="1"/>
    <xf numFmtId="10" fontId="11" fillId="0" borderId="0" xfId="2" applyNumberFormat="1" applyFont="1" applyAlignment="1">
      <alignment horizontal="right"/>
    </xf>
    <xf numFmtId="166" fontId="3" fillId="0" borderId="0" xfId="0" applyNumberFormat="1" applyFont="1"/>
    <xf numFmtId="0" fontId="10" fillId="0" borderId="0" xfId="0" applyFont="1"/>
    <xf numFmtId="0" fontId="3" fillId="0" borderId="1" xfId="0" applyFont="1" applyBorder="1"/>
    <xf numFmtId="166" fontId="3" fillId="0" borderId="1" xfId="0" applyNumberFormat="1" applyFont="1" applyBorder="1"/>
    <xf numFmtId="166" fontId="3" fillId="0" borderId="1" xfId="0" applyNumberFormat="1" applyFont="1" applyBorder="1" applyAlignment="1">
      <alignment horizontal="right"/>
    </xf>
    <xf numFmtId="0" fontId="3" fillId="0" borderId="2" xfId="0" applyFont="1" applyBorder="1"/>
    <xf numFmtId="166" fontId="3" fillId="0" borderId="2" xfId="0" applyNumberFormat="1" applyFont="1" applyBorder="1"/>
    <xf numFmtId="43" fontId="7" fillId="0" borderId="2" xfId="1" applyFont="1" applyBorder="1"/>
    <xf numFmtId="43" fontId="3" fillId="0" borderId="2" xfId="1" applyFont="1" applyFill="1" applyBorder="1"/>
    <xf numFmtId="0" fontId="0" fillId="0" borderId="4" xfId="0" applyBorder="1"/>
    <xf numFmtId="168" fontId="0" fillId="0" borderId="3" xfId="0" applyNumberFormat="1" applyBorder="1"/>
    <xf numFmtId="10" fontId="0" fillId="0" borderId="4" xfId="2" applyNumberFormat="1" applyFont="1" applyBorder="1"/>
    <xf numFmtId="168" fontId="0" fillId="0" borderId="0" xfId="0" applyNumberFormat="1"/>
    <xf numFmtId="0" fontId="0" fillId="0" borderId="3" xfId="0" applyBorder="1"/>
    <xf numFmtId="10" fontId="0" fillId="0" borderId="3" xfId="2" applyNumberFormat="1" applyFont="1" applyBorder="1"/>
    <xf numFmtId="10" fontId="0" fillId="0" borderId="0" xfId="2" applyNumberFormat="1" applyFont="1" applyBorder="1"/>
    <xf numFmtId="168" fontId="0" fillId="0" borderId="4" xfId="0" applyNumberFormat="1" applyBorder="1"/>
    <xf numFmtId="167" fontId="0" fillId="0" borderId="3" xfId="0" applyNumberFormat="1" applyBorder="1"/>
    <xf numFmtId="167" fontId="0" fillId="0" borderId="0" xfId="0" applyNumberFormat="1"/>
    <xf numFmtId="167" fontId="0" fillId="0" borderId="4" xfId="0" applyNumberFormat="1" applyBorder="1"/>
    <xf numFmtId="10" fontId="0" fillId="0" borderId="3" xfId="0" applyNumberFormat="1" applyBorder="1"/>
    <xf numFmtId="10" fontId="0" fillId="0" borderId="0" xfId="0" applyNumberFormat="1"/>
    <xf numFmtId="10" fontId="0" fillId="0" borderId="4" xfId="0" applyNumberFormat="1" applyBorder="1"/>
    <xf numFmtId="10" fontId="0" fillId="0" borderId="3" xfId="2" applyNumberFormat="1" applyFont="1" applyFill="1" applyBorder="1" applyAlignment="1">
      <alignment horizontal="right"/>
    </xf>
    <xf numFmtId="10" fontId="0" fillId="0" borderId="3" xfId="2" applyNumberFormat="1" applyFont="1" applyFill="1" applyBorder="1"/>
    <xf numFmtId="10" fontId="0" fillId="0" borderId="0" xfId="2" applyNumberFormat="1" applyFont="1" applyFill="1" applyBorder="1" applyAlignment="1">
      <alignment horizontal="right"/>
    </xf>
    <xf numFmtId="10" fontId="0" fillId="0" borderId="0" xfId="2" applyNumberFormat="1" applyFont="1" applyFill="1" applyBorder="1"/>
    <xf numFmtId="10" fontId="0" fillId="0" borderId="0" xfId="2" applyNumberFormat="1" applyFont="1" applyBorder="1" applyAlignment="1">
      <alignment horizontal="right"/>
    </xf>
    <xf numFmtId="10" fontId="0" fillId="0" borderId="4" xfId="2" applyNumberFormat="1" applyFont="1" applyBorder="1" applyAlignment="1">
      <alignment horizontal="right"/>
    </xf>
    <xf numFmtId="10" fontId="0" fillId="0" borderId="4" xfId="2" applyNumberFormat="1" applyFont="1" applyFill="1" applyBorder="1"/>
    <xf numFmtId="0" fontId="2" fillId="4" borderId="0" xfId="0" applyFont="1" applyFill="1"/>
    <xf numFmtId="17" fontId="2" fillId="4" borderId="0" xfId="0" applyNumberFormat="1" applyFont="1" applyFill="1" applyAlignment="1">
      <alignment horizontal="center"/>
    </xf>
    <xf numFmtId="17" fontId="2" fillId="4" borderId="0" xfId="0" applyNumberFormat="1" applyFont="1" applyFill="1" applyAlignment="1">
      <alignment horizontal="right"/>
    </xf>
    <xf numFmtId="169" fontId="0" fillId="0" borderId="0" xfId="0" applyNumberFormat="1"/>
    <xf numFmtId="0" fontId="2" fillId="4" borderId="0" xfId="0" applyFont="1" applyFill="1" applyAlignment="1">
      <alignment horizontal="right"/>
    </xf>
    <xf numFmtId="0" fontId="0" fillId="0" borderId="0" xfId="0" applyAlignment="1">
      <alignment horizontal="left"/>
    </xf>
    <xf numFmtId="0" fontId="2" fillId="4" borderId="0" xfId="0" applyFont="1" applyFill="1" applyAlignment="1">
      <alignment horizontal="center"/>
    </xf>
    <xf numFmtId="43" fontId="5" fillId="0" borderId="0" xfId="4" applyNumberFormat="1" applyBorder="1" applyAlignment="1" applyProtection="1">
      <alignment horizontal="center"/>
    </xf>
    <xf numFmtId="43" fontId="8" fillId="2" borderId="0" xfId="3" applyNumberFormat="1" applyFont="1" applyBorder="1" applyAlignment="1">
      <alignment horizontal="center"/>
    </xf>
    <xf numFmtId="0" fontId="0" fillId="0" borderId="0" xfId="0" applyFill="1" applyBorder="1"/>
    <xf numFmtId="0" fontId="10" fillId="0" borderId="0" xfId="0" applyFont="1" applyFill="1" applyBorder="1" applyAlignment="1">
      <alignment horizontal="center"/>
    </xf>
    <xf numFmtId="0" fontId="0" fillId="0" borderId="0" xfId="0" applyFill="1" applyBorder="1" applyAlignment="1"/>
    <xf numFmtId="170" fontId="0" fillId="0" borderId="0" xfId="0" applyNumberFormat="1"/>
    <xf numFmtId="171" fontId="0" fillId="0" borderId="0" xfId="0" applyNumberFormat="1"/>
    <xf numFmtId="169" fontId="13" fillId="0" borderId="0" xfId="0" applyNumberFormat="1" applyFont="1"/>
    <xf numFmtId="0" fontId="0" fillId="0" borderId="0" xfId="0" applyBorder="1"/>
    <xf numFmtId="0" fontId="0" fillId="5" borderId="0" xfId="0" applyFill="1"/>
    <xf numFmtId="0" fontId="0" fillId="7" borderId="0" xfId="0" applyFill="1" applyAlignment="1">
      <alignment horizontal="left"/>
    </xf>
    <xf numFmtId="171" fontId="0" fillId="7" borderId="0" xfId="0" applyNumberFormat="1" applyFill="1"/>
    <xf numFmtId="169" fontId="13" fillId="7" borderId="0" xfId="0" applyNumberFormat="1" applyFont="1" applyFill="1"/>
    <xf numFmtId="10" fontId="0" fillId="7" borderId="0" xfId="2" applyNumberFormat="1" applyFont="1" applyFill="1"/>
    <xf numFmtId="10" fontId="0" fillId="7" borderId="0" xfId="2" applyNumberFormat="1" applyFont="1" applyFill="1" applyBorder="1"/>
    <xf numFmtId="0" fontId="13" fillId="0" borderId="0" xfId="0" applyFont="1" applyAlignment="1">
      <alignment horizontal="left"/>
    </xf>
    <xf numFmtId="170" fontId="13" fillId="0" borderId="0" xfId="0" applyNumberFormat="1" applyFont="1"/>
    <xf numFmtId="0" fontId="13" fillId="7" borderId="0" xfId="0" applyFont="1" applyFill="1" applyAlignment="1">
      <alignment horizontal="left"/>
    </xf>
    <xf numFmtId="171" fontId="13" fillId="7" borderId="0" xfId="0" applyNumberFormat="1" applyFont="1" applyFill="1"/>
  </cellXfs>
  <cellStyles count="11">
    <cellStyle name="Accent6" xfId="3" builtinId="49"/>
    <cellStyle name="Accent6 2" xfId="7" xr:uid="{3C945169-C302-4FC9-8B24-6A83C2E4B723}"/>
    <cellStyle name="Comma" xfId="1" builtinId="3"/>
    <cellStyle name="Comma 2" xfId="5" xr:uid="{D956CDCC-5473-4E67-87C3-69857A34C29F}"/>
    <cellStyle name="Hyperlink" xfId="4" builtinId="8"/>
    <cellStyle name="Hyperlink 2" xfId="6" xr:uid="{F38901F3-E336-4CC9-BD3F-4057BED84EBE}"/>
    <cellStyle name="Normal" xfId="0" builtinId="0"/>
    <cellStyle name="Normal 2" xfId="10" xr:uid="{4C2CE492-CB7F-4783-8CDB-AA8D18328455}"/>
    <cellStyle name="Normal 3" xfId="8" xr:uid="{6C886ADE-9283-4B62-BDC7-B076DEB659CB}"/>
    <cellStyle name="Percent" xfId="2" builtinId="5"/>
    <cellStyle name="Percent 3" xfId="9" xr:uid="{4AF05917-669A-4C17-98EB-1D606B8A3488}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13219-31B1-4F75-8559-F97AEB8495B0}">
  <sheetPr>
    <tabColor rgb="FF002060"/>
  </sheetPr>
  <dimension ref="A1"/>
  <sheetViews>
    <sheetView workbookViewId="0">
      <selection activeCell="G18" sqref="G18"/>
    </sheetView>
  </sheetViews>
  <sheetFormatPr defaultRowHeight="14.25" x14ac:dyDescent="0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C6CB6-D5BD-4106-BF3E-F370A3DF6D4B}">
  <dimension ref="A2:M105"/>
  <sheetViews>
    <sheetView showGridLines="0" tabSelected="1" zoomScaleNormal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59" sqref="C59"/>
    </sheetView>
  </sheetViews>
  <sheetFormatPr defaultRowHeight="14.25" x14ac:dyDescent="0.45"/>
  <cols>
    <col min="1" max="1" width="1.73046875" customWidth="1"/>
    <col min="2" max="2" width="25.73046875" bestFit="1" customWidth="1"/>
    <col min="3" max="13" width="12.59765625" customWidth="1"/>
    <col min="14" max="15" width="10.59765625" customWidth="1"/>
  </cols>
  <sheetData>
    <row r="2" spans="1:13" x14ac:dyDescent="0.45">
      <c r="A2" s="11"/>
      <c r="B2" s="60" t="str">
        <f>"Historical Financial Statement - "&amp;'Data Sheet'!B1</f>
        <v>Historical Financial Statement - TATA MOTORS PASSENGER VEHICLES LTD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</row>
    <row r="3" spans="1:13" x14ac:dyDescent="0.45">
      <c r="A3" s="11"/>
      <c r="B3" s="54" t="s">
        <v>54</v>
      </c>
      <c r="C3" s="10">
        <f>'Data Sheet'!B16</f>
        <v>42460</v>
      </c>
      <c r="D3" s="10">
        <f>'Data Sheet'!C16</f>
        <v>42825</v>
      </c>
      <c r="E3" s="10">
        <f>'Data Sheet'!D16</f>
        <v>43190</v>
      </c>
      <c r="F3" s="10">
        <f>'Data Sheet'!E16</f>
        <v>43555</v>
      </c>
      <c r="G3" s="10">
        <f>'Data Sheet'!F16</f>
        <v>43921</v>
      </c>
      <c r="H3" s="10">
        <f>'Data Sheet'!G16</f>
        <v>44286</v>
      </c>
      <c r="I3" s="10">
        <f>'Data Sheet'!H16</f>
        <v>44651</v>
      </c>
      <c r="J3" s="10">
        <f>'Data Sheet'!I16</f>
        <v>45016</v>
      </c>
      <c r="K3" s="10">
        <f>'Data Sheet'!J16</f>
        <v>45382</v>
      </c>
      <c r="L3" s="10">
        <f>'Data Sheet'!K16</f>
        <v>45747</v>
      </c>
      <c r="M3" s="56" t="s">
        <v>55</v>
      </c>
    </row>
    <row r="4" spans="1:13" s="20" customFormat="1" x14ac:dyDescent="0.45">
      <c r="A4" s="17"/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9"/>
    </row>
    <row r="5" spans="1:13" x14ac:dyDescent="0.45">
      <c r="A5" t="s">
        <v>57</v>
      </c>
      <c r="B5" s="21" t="s">
        <v>56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3" x14ac:dyDescent="0.45">
      <c r="B6" t="s">
        <v>12</v>
      </c>
      <c r="C6" s="12">
        <f>IFERROR('Data Sheet'!B17,0)</f>
        <v>273045.59999999998</v>
      </c>
      <c r="D6" s="12">
        <f>IFERROR('Data Sheet'!C17,0)</f>
        <v>269692.51</v>
      </c>
      <c r="E6" s="12">
        <f>IFERROR('Data Sheet'!D17,0)</f>
        <v>291550.48</v>
      </c>
      <c r="F6" s="12">
        <f>IFERROR('Data Sheet'!E17,0)</f>
        <v>301938.40000000002</v>
      </c>
      <c r="G6" s="12">
        <f>IFERROR('Data Sheet'!F17,0)</f>
        <v>261067.97</v>
      </c>
      <c r="H6" s="12">
        <f>IFERROR('Data Sheet'!G17,0)</f>
        <v>249794.75</v>
      </c>
      <c r="I6" s="12">
        <f>IFERROR('Data Sheet'!H17,0)</f>
        <v>278453.62</v>
      </c>
      <c r="J6" s="12">
        <f>IFERROR('Data Sheet'!I17,0)</f>
        <v>345966.97</v>
      </c>
      <c r="K6" s="12">
        <f>IFERROR('Data Sheet'!J17,0)</f>
        <v>434016</v>
      </c>
      <c r="L6" s="12">
        <f>IFERROR('Data Sheet'!K17,0)</f>
        <v>439695</v>
      </c>
      <c r="M6" s="12">
        <f>IFERROR(SUM('Data Sheet'!H42:K42),0)</f>
        <v>349637</v>
      </c>
    </row>
    <row r="7" spans="1:13" x14ac:dyDescent="0.45">
      <c r="B7" s="14" t="s">
        <v>58</v>
      </c>
      <c r="C7" s="15" t="s">
        <v>59</v>
      </c>
      <c r="D7" s="16">
        <f>D6/C6-1</f>
        <v>-1.2280329732469508E-2</v>
      </c>
      <c r="E7" s="16">
        <f t="shared" ref="E7:M7" si="0">E6/D6-1</f>
        <v>8.104774581985974E-2</v>
      </c>
      <c r="F7" s="16">
        <f t="shared" si="0"/>
        <v>3.5629919045237157E-2</v>
      </c>
      <c r="G7" s="16">
        <f t="shared" si="0"/>
        <v>-0.135360159555724</v>
      </c>
      <c r="H7" s="16">
        <f t="shared" si="0"/>
        <v>-4.3181168490336042E-2</v>
      </c>
      <c r="I7" s="16">
        <f t="shared" si="0"/>
        <v>0.11472967306158344</v>
      </c>
      <c r="J7" s="16">
        <f t="shared" si="0"/>
        <v>0.24245815155859707</v>
      </c>
      <c r="K7" s="16">
        <f t="shared" si="0"/>
        <v>0.25450126062612277</v>
      </c>
      <c r="L7" s="16">
        <f t="shared" si="0"/>
        <v>1.3084771068347711E-2</v>
      </c>
      <c r="M7" s="16">
        <f t="shared" si="0"/>
        <v>-0.20481924970718335</v>
      </c>
    </row>
    <row r="9" spans="1:13" x14ac:dyDescent="0.45">
      <c r="B9" t="s">
        <v>60</v>
      </c>
      <c r="C9" s="12">
        <f>IFERROR(SUM('Data Sheet'!B18,'Data Sheet'!B20:B22)-1*'Data Sheet'!B19,0)</f>
        <v>205509.07</v>
      </c>
      <c r="D9" s="12">
        <f>IFERROR(SUM('Data Sheet'!C18,'Data Sheet'!C20:C22)-1*'Data Sheet'!C19,0)</f>
        <v>205454.23999999996</v>
      </c>
      <c r="E9" s="12">
        <f>IFERROR(SUM('Data Sheet'!D18,'Data Sheet'!D20:D22)-1*'Data Sheet'!D19,0)</f>
        <v>228429.83</v>
      </c>
      <c r="F9" s="12">
        <f>IFERROR(SUM('Data Sheet'!E18,'Data Sheet'!E20:E22)-1*'Data Sheet'!E19,0)</f>
        <v>242845.53</v>
      </c>
      <c r="G9" s="12">
        <f>IFERROR(SUM('Data Sheet'!F18,'Data Sheet'!F20:F22)-1*'Data Sheet'!F19,0)</f>
        <v>210376.07000000004</v>
      </c>
      <c r="H9" s="12">
        <f>IFERROR(SUM('Data Sheet'!G18,'Data Sheet'!G20:G22)-1*'Data Sheet'!G19,0)</f>
        <v>195326.04</v>
      </c>
      <c r="I9" s="12">
        <f>IFERROR(SUM('Data Sheet'!H18,'Data Sheet'!H20:H22)-1*'Data Sheet'!H19,0)</f>
        <v>223300.00999999998</v>
      </c>
      <c r="J9" s="12">
        <f>IFERROR(SUM('Data Sheet'!I18,'Data Sheet'!I20:I22)-1*'Data Sheet'!I19,0)</f>
        <v>274403.64</v>
      </c>
      <c r="K9" s="12">
        <f>IFERROR(SUM('Data Sheet'!J18,'Data Sheet'!J20:J22)-1*'Data Sheet'!J19,0)</f>
        <v>334380</v>
      </c>
      <c r="L9" s="12">
        <f>IFERROR(SUM('Data Sheet'!K18,'Data Sheet'!K20:K22)-1*'Data Sheet'!K19,0)</f>
        <v>340809</v>
      </c>
      <c r="M9" s="12">
        <f>IFERROR(SUM('Data Sheet'!H43:K43),0)</f>
        <v>325182</v>
      </c>
    </row>
    <row r="10" spans="1:13" x14ac:dyDescent="0.45">
      <c r="B10" s="14" t="s">
        <v>61</v>
      </c>
      <c r="C10" s="16">
        <f>C9/C6</f>
        <v>0.75265475803309057</v>
      </c>
      <c r="D10" s="16">
        <f t="shared" ref="D10:M10" si="1">D9/D6</f>
        <v>0.76180921746770036</v>
      </c>
      <c r="E10" s="16">
        <f t="shared" si="1"/>
        <v>0.78350009919380004</v>
      </c>
      <c r="F10" s="16">
        <f t="shared" si="1"/>
        <v>0.80428832503583503</v>
      </c>
      <c r="G10" s="16">
        <f t="shared" si="1"/>
        <v>0.80582872728508226</v>
      </c>
      <c r="H10" s="16">
        <f t="shared" si="1"/>
        <v>0.7819461377791167</v>
      </c>
      <c r="I10" s="16">
        <f t="shared" si="1"/>
        <v>0.80192891728252624</v>
      </c>
      <c r="J10" s="16">
        <f t="shared" si="1"/>
        <v>0.79314982005363122</v>
      </c>
      <c r="K10" s="16">
        <f t="shared" si="1"/>
        <v>0.7704324264543243</v>
      </c>
      <c r="L10" s="16">
        <f t="shared" si="1"/>
        <v>0.77510319653396109</v>
      </c>
      <c r="M10" s="16">
        <f t="shared" si="1"/>
        <v>0.93005602953920785</v>
      </c>
    </row>
    <row r="12" spans="1:13" x14ac:dyDescent="0.45">
      <c r="B12" s="26" t="s">
        <v>62</v>
      </c>
      <c r="C12" s="27">
        <f>C6-C9</f>
        <v>67536.52999999997</v>
      </c>
      <c r="D12" s="27">
        <f t="shared" ref="D12:M12" si="2">D6-D9</f>
        <v>64238.270000000048</v>
      </c>
      <c r="E12" s="27">
        <f t="shared" si="2"/>
        <v>63120.649999999994</v>
      </c>
      <c r="F12" s="27">
        <f t="shared" si="2"/>
        <v>59092.870000000024</v>
      </c>
      <c r="G12" s="27">
        <f t="shared" si="2"/>
        <v>50691.899999999965</v>
      </c>
      <c r="H12" s="27">
        <f t="shared" si="2"/>
        <v>54468.709999999992</v>
      </c>
      <c r="I12" s="27">
        <f t="shared" si="2"/>
        <v>55153.610000000015</v>
      </c>
      <c r="J12" s="27">
        <f t="shared" si="2"/>
        <v>71563.329999999958</v>
      </c>
      <c r="K12" s="27">
        <f t="shared" si="2"/>
        <v>99636</v>
      </c>
      <c r="L12" s="27">
        <f t="shared" si="2"/>
        <v>98886</v>
      </c>
      <c r="M12" s="27">
        <f t="shared" si="2"/>
        <v>24455</v>
      </c>
    </row>
    <row r="13" spans="1:13" x14ac:dyDescent="0.45">
      <c r="B13" s="14" t="s">
        <v>70</v>
      </c>
      <c r="C13" s="16">
        <f>C12/C6</f>
        <v>0.24734524196690946</v>
      </c>
      <c r="D13" s="16">
        <f t="shared" ref="D13:M13" si="3">D12/D6</f>
        <v>0.23819078253229964</v>
      </c>
      <c r="E13" s="16">
        <f t="shared" si="3"/>
        <v>0.21649990080619999</v>
      </c>
      <c r="F13" s="16">
        <f t="shared" si="3"/>
        <v>0.19571167496416494</v>
      </c>
      <c r="G13" s="16">
        <f t="shared" si="3"/>
        <v>0.19417127271491774</v>
      </c>
      <c r="H13" s="16">
        <f t="shared" si="3"/>
        <v>0.2180538622208833</v>
      </c>
      <c r="I13" s="16">
        <f t="shared" si="3"/>
        <v>0.19807108271747378</v>
      </c>
      <c r="J13" s="16">
        <f t="shared" si="3"/>
        <v>0.20685017994636876</v>
      </c>
      <c r="K13" s="16">
        <f t="shared" si="3"/>
        <v>0.22956757354567572</v>
      </c>
      <c r="L13" s="16">
        <f t="shared" si="3"/>
        <v>0.22489680346603896</v>
      </c>
      <c r="M13" s="16">
        <f t="shared" si="3"/>
        <v>6.994397046079219E-2</v>
      </c>
    </row>
    <row r="15" spans="1:13" x14ac:dyDescent="0.45">
      <c r="B15" t="s">
        <v>63</v>
      </c>
      <c r="C15" s="12">
        <f>IFERROR(SUM('Data Sheet'!B23:B24),0)</f>
        <v>29141.280000000002</v>
      </c>
      <c r="D15" s="12">
        <f>IFERROR(SUM('Data Sheet'!C23:C24),0)</f>
        <v>34649.58</v>
      </c>
      <c r="E15" s="12">
        <f>IFERROR(SUM('Data Sheet'!D23:D24),0)</f>
        <v>31662.97</v>
      </c>
      <c r="F15" s="12">
        <f>IFERROR(SUM('Data Sheet'!E23:E24),0)</f>
        <v>34428.54</v>
      </c>
      <c r="G15" s="12">
        <f>IFERROR(SUM('Data Sheet'!F23:F24),0)</f>
        <v>32704.83</v>
      </c>
      <c r="H15" s="12">
        <f>IFERROR(SUM('Data Sheet'!G23:G24),0)</f>
        <v>22181.280000000002</v>
      </c>
      <c r="I15" s="12">
        <f>IFERROR(SUM('Data Sheet'!H23:H24),0)</f>
        <v>30433.52</v>
      </c>
      <c r="J15" s="12">
        <f>IFERROR(SUM('Data Sheet'!I23:I24),0)</f>
        <v>39747.53</v>
      </c>
      <c r="K15" s="12">
        <f>IFERROR(SUM('Data Sheet'!J23:J24),0)</f>
        <v>41827</v>
      </c>
      <c r="L15" s="12">
        <f>IFERROR(SUM('Data Sheet'!K23:K24),0)</f>
        <v>42748</v>
      </c>
      <c r="M15" s="12">
        <f>IFERROR(SUM('Data Sheet'!L23:L24),0)</f>
        <v>0</v>
      </c>
    </row>
    <row r="16" spans="1:13" x14ac:dyDescent="0.45">
      <c r="B16" s="14" t="s">
        <v>64</v>
      </c>
      <c r="C16" s="16">
        <f>C15/C6</f>
        <v>0.10672678849247161</v>
      </c>
      <c r="D16" s="16">
        <f t="shared" ref="D16:M16" si="4">D15/D6</f>
        <v>0.12847809529452636</v>
      </c>
      <c r="E16" s="16">
        <f t="shared" si="4"/>
        <v>0.10860201636437025</v>
      </c>
      <c r="F16" s="16">
        <f t="shared" si="4"/>
        <v>0.11402504616835751</v>
      </c>
      <c r="G16" s="16">
        <f t="shared" si="4"/>
        <v>0.12527323822987554</v>
      </c>
      <c r="H16" s="16">
        <f t="shared" si="4"/>
        <v>8.8798023177028354E-2</v>
      </c>
      <c r="I16" s="16">
        <f t="shared" si="4"/>
        <v>0.10929475436519734</v>
      </c>
      <c r="J16" s="16">
        <f t="shared" si="4"/>
        <v>0.11488822184383672</v>
      </c>
      <c r="K16" s="16">
        <f t="shared" si="4"/>
        <v>9.6372023151220232E-2</v>
      </c>
      <c r="L16" s="16">
        <f t="shared" si="4"/>
        <v>9.722193793424988E-2</v>
      </c>
      <c r="M16" s="16">
        <f t="shared" si="4"/>
        <v>0</v>
      </c>
    </row>
    <row r="18" spans="2:13" x14ac:dyDescent="0.45">
      <c r="B18" s="26" t="s">
        <v>65</v>
      </c>
      <c r="C18" s="27">
        <f t="shared" ref="C18:L18" si="5">C12-C15</f>
        <v>38395.249999999971</v>
      </c>
      <c r="D18" s="27">
        <f t="shared" si="5"/>
        <v>29588.690000000046</v>
      </c>
      <c r="E18" s="27">
        <f t="shared" si="5"/>
        <v>31457.679999999993</v>
      </c>
      <c r="F18" s="27">
        <f t="shared" si="5"/>
        <v>24664.330000000024</v>
      </c>
      <c r="G18" s="27">
        <f t="shared" si="5"/>
        <v>17987.069999999963</v>
      </c>
      <c r="H18" s="27">
        <f t="shared" si="5"/>
        <v>32287.429999999989</v>
      </c>
      <c r="I18" s="27">
        <f t="shared" si="5"/>
        <v>24720.090000000015</v>
      </c>
      <c r="J18" s="27">
        <f t="shared" si="5"/>
        <v>31815.799999999959</v>
      </c>
      <c r="K18" s="27">
        <f t="shared" si="5"/>
        <v>57809</v>
      </c>
      <c r="L18" s="27">
        <f t="shared" si="5"/>
        <v>56138</v>
      </c>
      <c r="M18" s="28"/>
    </row>
    <row r="19" spans="2:13" x14ac:dyDescent="0.45">
      <c r="B19" s="14" t="s">
        <v>66</v>
      </c>
      <c r="C19" s="16">
        <f>C18/C6</f>
        <v>0.14061845347443788</v>
      </c>
      <c r="D19" s="16">
        <f t="shared" ref="D19:M19" si="6">D18/D6</f>
        <v>0.10971268723777329</v>
      </c>
      <c r="E19" s="16">
        <f t="shared" si="6"/>
        <v>0.10789788444182975</v>
      </c>
      <c r="F19" s="16">
        <f t="shared" si="6"/>
        <v>8.1686628795807431E-2</v>
      </c>
      <c r="G19" s="16">
        <f t="shared" si="6"/>
        <v>6.8898034485042198E-2</v>
      </c>
      <c r="H19" s="16">
        <f t="shared" si="6"/>
        <v>0.12925583904385496</v>
      </c>
      <c r="I19" s="16">
        <f t="shared" si="6"/>
        <v>8.877632835227646E-2</v>
      </c>
      <c r="J19" s="16">
        <f t="shared" si="6"/>
        <v>9.1961958102532049E-2</v>
      </c>
      <c r="K19" s="16">
        <f t="shared" si="6"/>
        <v>0.13319555039445549</v>
      </c>
      <c r="L19" s="16">
        <f t="shared" si="6"/>
        <v>0.12767486553178908</v>
      </c>
      <c r="M19" s="16">
        <f t="shared" si="6"/>
        <v>0</v>
      </c>
    </row>
    <row r="21" spans="2:13" x14ac:dyDescent="0.45">
      <c r="B21" t="s">
        <v>22</v>
      </c>
      <c r="C21" s="12">
        <f>IFERROR('Data Sheet'!B27,0)</f>
        <v>4889.08</v>
      </c>
      <c r="D21" s="12">
        <f>IFERROR('Data Sheet'!C27,0)</f>
        <v>4238.01</v>
      </c>
      <c r="E21" s="12">
        <f>IFERROR('Data Sheet'!D27,0)</f>
        <v>4681.79</v>
      </c>
      <c r="F21" s="12">
        <f>IFERROR('Data Sheet'!E27,0)</f>
        <v>5758.6</v>
      </c>
      <c r="G21" s="12">
        <f>IFERROR('Data Sheet'!F27,0)</f>
        <v>7243.33</v>
      </c>
      <c r="H21" s="12">
        <f>IFERROR('Data Sheet'!G27,0)</f>
        <v>8097.17</v>
      </c>
      <c r="I21" s="12">
        <f>IFERROR('Data Sheet'!H27,0)</f>
        <v>9311.86</v>
      </c>
      <c r="J21" s="12">
        <f>IFERROR('Data Sheet'!I27,0)</f>
        <v>10225.48</v>
      </c>
      <c r="K21" s="12">
        <f>IFERROR('Data Sheet'!J27,0)</f>
        <v>7594</v>
      </c>
      <c r="L21" s="12">
        <f>IFERROR('Data Sheet'!K27,0)</f>
        <v>5083</v>
      </c>
      <c r="M21" s="12">
        <f>IFERROR(SUM('Data Sheet'!H46:K46),0)</f>
        <v>3136</v>
      </c>
    </row>
    <row r="22" spans="2:13" x14ac:dyDescent="0.45">
      <c r="B22" s="14" t="s">
        <v>67</v>
      </c>
      <c r="C22" s="16">
        <f>C21/C6</f>
        <v>1.7905727101993223E-2</v>
      </c>
      <c r="D22" s="16">
        <f t="shared" ref="D22:M22" si="7">D21/D6</f>
        <v>1.5714229512714312E-2</v>
      </c>
      <c r="E22" s="16">
        <f t="shared" si="7"/>
        <v>1.605824830060304E-2</v>
      </c>
      <c r="F22" s="16">
        <f t="shared" si="7"/>
        <v>1.9072102124141878E-2</v>
      </c>
      <c r="G22" s="16">
        <f t="shared" si="7"/>
        <v>2.7744996829752802E-2</v>
      </c>
      <c r="H22" s="16">
        <f t="shared" si="7"/>
        <v>3.2415292955516477E-2</v>
      </c>
      <c r="I22" s="16">
        <f t="shared" si="7"/>
        <v>3.3441332168710897E-2</v>
      </c>
      <c r="J22" s="16">
        <f t="shared" si="7"/>
        <v>2.9556231914277829E-2</v>
      </c>
      <c r="K22" s="16">
        <f t="shared" si="7"/>
        <v>1.7497050799970507E-2</v>
      </c>
      <c r="L22" s="16">
        <f t="shared" si="7"/>
        <v>1.1560286107415368E-2</v>
      </c>
      <c r="M22" s="16">
        <f t="shared" si="7"/>
        <v>8.9693024479674636E-3</v>
      </c>
    </row>
    <row r="24" spans="2:13" x14ac:dyDescent="0.45">
      <c r="B24" t="s">
        <v>68</v>
      </c>
      <c r="C24" s="12">
        <f>IFERROR('Data Sheet'!B26,0)</f>
        <v>16710.78</v>
      </c>
      <c r="D24" s="12">
        <f>IFERROR('Data Sheet'!C26,0)</f>
        <v>17904.990000000002</v>
      </c>
      <c r="E24" s="12">
        <f>IFERROR('Data Sheet'!D26,0)</f>
        <v>21553.59</v>
      </c>
      <c r="F24" s="12">
        <f>IFERROR('Data Sheet'!E26,0)</f>
        <v>23590.63</v>
      </c>
      <c r="G24" s="12">
        <f>IFERROR('Data Sheet'!F26,0)</f>
        <v>21425.43</v>
      </c>
      <c r="H24" s="12">
        <f>IFERROR('Data Sheet'!G26,0)</f>
        <v>23546.71</v>
      </c>
      <c r="I24" s="12">
        <f>IFERROR('Data Sheet'!H26,0)</f>
        <v>24835.69</v>
      </c>
      <c r="J24" s="12">
        <f>IFERROR('Data Sheet'!I26,0)</f>
        <v>24860.36</v>
      </c>
      <c r="K24" s="12">
        <f>IFERROR('Data Sheet'!J26,0)</f>
        <v>27239</v>
      </c>
      <c r="L24" s="12">
        <f>IFERROR('Data Sheet'!K26,0)</f>
        <v>23256</v>
      </c>
      <c r="M24" s="12">
        <f>IFERROR(SUM('Data Sheet'!H45:K45),0)</f>
        <v>19986</v>
      </c>
    </row>
    <row r="25" spans="2:13" x14ac:dyDescent="0.45">
      <c r="B25" s="14" t="s">
        <v>69</v>
      </c>
      <c r="C25" s="16">
        <f>C24/C6</f>
        <v>6.1201425695927715E-2</v>
      </c>
      <c r="D25" s="16">
        <f t="shared" ref="D25:M25" si="8">D24/D6</f>
        <v>6.63903865924938E-2</v>
      </c>
      <c r="E25" s="16">
        <f t="shared" si="8"/>
        <v>7.3927472182518786E-2</v>
      </c>
      <c r="F25" s="16">
        <f t="shared" si="8"/>
        <v>7.8130605447998658E-2</v>
      </c>
      <c r="G25" s="16">
        <f t="shared" si="8"/>
        <v>8.206839774331566E-2</v>
      </c>
      <c r="H25" s="16">
        <f t="shared" si="8"/>
        <v>9.4264230933596482E-2</v>
      </c>
      <c r="I25" s="16">
        <f t="shared" si="8"/>
        <v>8.9191478279219347E-2</v>
      </c>
      <c r="J25" s="16">
        <f t="shared" si="8"/>
        <v>7.1857611147098821E-2</v>
      </c>
      <c r="K25" s="16">
        <f t="shared" si="8"/>
        <v>6.2760359065103591E-2</v>
      </c>
      <c r="L25" s="16">
        <f t="shared" si="8"/>
        <v>5.2891208678743216E-2</v>
      </c>
      <c r="M25" s="16">
        <f t="shared" si="8"/>
        <v>5.7162142450598766E-2</v>
      </c>
    </row>
    <row r="27" spans="2:13" x14ac:dyDescent="0.45">
      <c r="B27" s="26" t="s">
        <v>71</v>
      </c>
      <c r="C27" s="27">
        <f>IFERROR(C18-SUM(C24,C21),0)</f>
        <v>16795.38999999997</v>
      </c>
      <c r="D27" s="27">
        <f t="shared" ref="D27:L27" si="9">IFERROR(D18-SUM(D24,D21),0)</f>
        <v>7445.690000000046</v>
      </c>
      <c r="E27" s="27">
        <f t="shared" si="9"/>
        <v>5222.299999999992</v>
      </c>
      <c r="F27" s="27">
        <f t="shared" si="9"/>
        <v>-4684.8999999999796</v>
      </c>
      <c r="G27" s="27">
        <f t="shared" si="9"/>
        <v>-10681.690000000039</v>
      </c>
      <c r="H27" s="27">
        <f t="shared" si="9"/>
        <v>643.549999999992</v>
      </c>
      <c r="I27" s="27">
        <f t="shared" si="9"/>
        <v>-9427.4599999999882</v>
      </c>
      <c r="J27" s="27">
        <f t="shared" si="9"/>
        <v>-3270.0400000000373</v>
      </c>
      <c r="K27" s="27">
        <f t="shared" si="9"/>
        <v>22976</v>
      </c>
      <c r="L27" s="27">
        <f t="shared" si="9"/>
        <v>27799</v>
      </c>
      <c r="M27" s="27">
        <f>IFERROR(SUM('Data Sheet'!H47:K47),0)</f>
        <v>86626</v>
      </c>
    </row>
    <row r="28" spans="2:13" x14ac:dyDescent="0.45">
      <c r="B28" s="14" t="s">
        <v>72</v>
      </c>
      <c r="C28" s="16">
        <f>C27/C6</f>
        <v>6.1511300676516931E-2</v>
      </c>
      <c r="D28" s="16">
        <f t="shared" ref="D28:M28" si="10">D27/D6</f>
        <v>2.7608071132565179E-2</v>
      </c>
      <c r="E28" s="16">
        <f t="shared" si="10"/>
        <v>1.7912163958707913E-2</v>
      </c>
      <c r="F28" s="16">
        <f t="shared" si="10"/>
        <v>-1.5516078776333117E-2</v>
      </c>
      <c r="G28" s="16">
        <f t="shared" si="10"/>
        <v>-4.0915360088026265E-2</v>
      </c>
      <c r="H28" s="16">
        <f t="shared" si="10"/>
        <v>2.5763151547420113E-3</v>
      </c>
      <c r="I28" s="16">
        <f t="shared" si="10"/>
        <v>-3.3856482095653805E-2</v>
      </c>
      <c r="J28" s="16">
        <f t="shared" si="10"/>
        <v>-9.4518849588445895E-3</v>
      </c>
      <c r="K28" s="16">
        <f t="shared" si="10"/>
        <v>5.2938140529381408E-2</v>
      </c>
      <c r="L28" s="16">
        <f t="shared" si="10"/>
        <v>6.3223370745630489E-2</v>
      </c>
      <c r="M28" s="16">
        <f t="shared" si="10"/>
        <v>0.24775981946990736</v>
      </c>
    </row>
    <row r="30" spans="2:13" x14ac:dyDescent="0.45">
      <c r="B30" t="s">
        <v>24</v>
      </c>
      <c r="C30" s="12">
        <f>IFERROR('Data Sheet'!B29,0)</f>
        <v>3025.05</v>
      </c>
      <c r="D30" s="12">
        <f>IFERROR('Data Sheet'!C29,0)</f>
        <v>3251.23</v>
      </c>
      <c r="E30" s="12">
        <f>IFERROR('Data Sheet'!D29,0)</f>
        <v>4341.93</v>
      </c>
      <c r="F30" s="12">
        <f>IFERROR('Data Sheet'!E29,0)</f>
        <v>-2437.4499999999998</v>
      </c>
      <c r="G30" s="12">
        <f>IFERROR('Data Sheet'!F29,0)</f>
        <v>395.25</v>
      </c>
      <c r="H30" s="12">
        <f>IFERROR('Data Sheet'!G29,0)</f>
        <v>2541.86</v>
      </c>
      <c r="I30" s="12">
        <f>IFERROR('Data Sheet'!H29,0)</f>
        <v>4231.29</v>
      </c>
      <c r="J30" s="12">
        <f>IFERROR('Data Sheet'!I29,0)</f>
        <v>704.06</v>
      </c>
      <c r="K30" s="12">
        <f>IFERROR('Data Sheet'!J29,0)</f>
        <v>-4024</v>
      </c>
      <c r="L30" s="12">
        <f>IFERROR('Data Sheet'!K29,0)</f>
        <v>10502</v>
      </c>
      <c r="M30" s="12">
        <f>IFERROR(SUM('Data Sheet'!H48:K48),0)</f>
        <v>1302</v>
      </c>
    </row>
    <row r="31" spans="2:13" x14ac:dyDescent="0.45">
      <c r="B31" s="14" t="s">
        <v>73</v>
      </c>
      <c r="C31" s="16">
        <f>C30/C27</f>
        <v>0.18011192356950362</v>
      </c>
      <c r="D31" s="16">
        <f t="shared" ref="D31:M31" si="11">D30/D27</f>
        <v>0.43665932908836924</v>
      </c>
      <c r="E31" s="16">
        <f t="shared" si="11"/>
        <v>0.8314210213890445</v>
      </c>
      <c r="F31" s="16">
        <f t="shared" si="11"/>
        <v>0.52027791414971725</v>
      </c>
      <c r="G31" s="16">
        <f t="shared" si="11"/>
        <v>-3.7002571690434617E-2</v>
      </c>
      <c r="H31" s="16">
        <f t="shared" si="11"/>
        <v>3.9497474943672315</v>
      </c>
      <c r="I31" s="16">
        <f t="shared" si="11"/>
        <v>-0.4488260888935095</v>
      </c>
      <c r="J31" s="16">
        <f t="shared" si="11"/>
        <v>-0.21530623478611635</v>
      </c>
      <c r="K31" s="16">
        <f t="shared" si="11"/>
        <v>-0.17513927576601671</v>
      </c>
      <c r="L31" s="16">
        <f t="shared" si="11"/>
        <v>0.37778337350264396</v>
      </c>
      <c r="M31" s="16">
        <f t="shared" si="11"/>
        <v>1.5030129522314317E-2</v>
      </c>
    </row>
    <row r="33" spans="1:13" x14ac:dyDescent="0.45">
      <c r="B33" s="29" t="s">
        <v>74</v>
      </c>
      <c r="C33" s="30">
        <f>IFERROR(C27-C30,0)</f>
        <v>13770.339999999971</v>
      </c>
      <c r="D33" s="30">
        <f t="shared" ref="D33:L33" si="12">IFERROR(D27-D30,0)</f>
        <v>4194.4600000000464</v>
      </c>
      <c r="E33" s="30">
        <f t="shared" si="12"/>
        <v>880.36999999999171</v>
      </c>
      <c r="F33" s="30">
        <f t="shared" si="12"/>
        <v>-2247.4499999999798</v>
      </c>
      <c r="G33" s="30">
        <f t="shared" si="12"/>
        <v>-11076.940000000039</v>
      </c>
      <c r="H33" s="30">
        <f t="shared" si="12"/>
        <v>-1898.3100000000081</v>
      </c>
      <c r="I33" s="30">
        <f t="shared" si="12"/>
        <v>-13658.749999999989</v>
      </c>
      <c r="J33" s="30">
        <f t="shared" si="12"/>
        <v>-3974.1000000000372</v>
      </c>
      <c r="K33" s="30">
        <f t="shared" si="12"/>
        <v>27000</v>
      </c>
      <c r="L33" s="30">
        <f t="shared" si="12"/>
        <v>17297</v>
      </c>
      <c r="M33" s="30">
        <f>IFERROR(SUM('Data Sheet'!H49:K49),0)</f>
        <v>85078</v>
      </c>
    </row>
    <row r="34" spans="1:13" x14ac:dyDescent="0.45">
      <c r="B34" s="14" t="s">
        <v>75</v>
      </c>
      <c r="C34" s="16">
        <f>C33/C6</f>
        <v>5.0432381990407359E-2</v>
      </c>
      <c r="D34" s="16">
        <f t="shared" ref="D34:M34" si="13">D33/D6</f>
        <v>1.5552749314395296E-2</v>
      </c>
      <c r="E34" s="16">
        <f t="shared" si="13"/>
        <v>3.01961430487095E-3</v>
      </c>
      <c r="F34" s="16">
        <f t="shared" si="13"/>
        <v>-7.4434056747998256E-3</v>
      </c>
      <c r="G34" s="16">
        <f t="shared" si="13"/>
        <v>-4.2429333632923408E-2</v>
      </c>
      <c r="H34" s="16">
        <f t="shared" si="13"/>
        <v>-7.5994791724005731E-3</v>
      </c>
      <c r="I34" s="16">
        <f t="shared" si="13"/>
        <v>-4.9052154538339235E-2</v>
      </c>
      <c r="J34" s="16">
        <f t="shared" si="13"/>
        <v>-1.1486934720964945E-2</v>
      </c>
      <c r="K34" s="16">
        <f t="shared" si="13"/>
        <v>6.220968812209688E-2</v>
      </c>
      <c r="L34" s="16">
        <f t="shared" si="13"/>
        <v>3.9338632461137835E-2</v>
      </c>
      <c r="M34" s="16">
        <f t="shared" si="13"/>
        <v>0.24333237042990302</v>
      </c>
    </row>
    <row r="36" spans="1:13" x14ac:dyDescent="0.45">
      <c r="B36" t="s">
        <v>43</v>
      </c>
      <c r="C36">
        <f>IFERROR('Data Sheet'!B93,0)</f>
        <v>288.72000000000003</v>
      </c>
      <c r="D36">
        <f>IFERROR('Data Sheet'!C93,0)</f>
        <v>288.73</v>
      </c>
      <c r="E36">
        <f>IFERROR('Data Sheet'!D93,0)</f>
        <v>288.73</v>
      </c>
      <c r="F36">
        <f>IFERROR('Data Sheet'!E93,0)</f>
        <v>288.73</v>
      </c>
      <c r="G36">
        <f>IFERROR('Data Sheet'!F93,0)</f>
        <v>308.89999999999998</v>
      </c>
      <c r="H36">
        <f>IFERROR('Data Sheet'!G93,0)</f>
        <v>332.03</v>
      </c>
      <c r="I36">
        <f>IFERROR('Data Sheet'!H93,0)</f>
        <v>332.07</v>
      </c>
      <c r="J36">
        <f>IFERROR('Data Sheet'!I93,0)</f>
        <v>332.13</v>
      </c>
      <c r="K36">
        <f>IFERROR('Data Sheet'!J93,0)</f>
        <v>332.37</v>
      </c>
      <c r="L36">
        <f>IFERROR('Data Sheet'!K93,0)</f>
        <v>368.13</v>
      </c>
      <c r="M36">
        <f>IFERROR('Data Sheet'!L93,0)</f>
        <v>0</v>
      </c>
    </row>
    <row r="38" spans="1:13" x14ac:dyDescent="0.45">
      <c r="B38" t="s">
        <v>76</v>
      </c>
      <c r="C38" s="12">
        <f>IFERROR(C33/C36,0)</f>
        <v>47.694444444444336</v>
      </c>
      <c r="D38" s="12">
        <f t="shared" ref="D38:M38" si="14">IFERROR(D33/D36,0)</f>
        <v>14.527274616423808</v>
      </c>
      <c r="E38" s="12">
        <f t="shared" si="14"/>
        <v>3.049111626779315</v>
      </c>
      <c r="F38" s="12">
        <f t="shared" si="14"/>
        <v>-7.7839157690575265</v>
      </c>
      <c r="G38" s="12">
        <f t="shared" si="14"/>
        <v>-35.859307219164904</v>
      </c>
      <c r="H38" s="12">
        <f t="shared" si="14"/>
        <v>-5.7172845827184542</v>
      </c>
      <c r="I38" s="12">
        <f t="shared" si="14"/>
        <v>-41.132140813683833</v>
      </c>
      <c r="J38" s="12">
        <f t="shared" si="14"/>
        <v>-11.965495438533218</v>
      </c>
      <c r="K38" s="12">
        <f t="shared" si="14"/>
        <v>81.234768480909835</v>
      </c>
      <c r="L38" s="12">
        <f t="shared" si="14"/>
        <v>46.986119034036889</v>
      </c>
      <c r="M38" s="12">
        <f t="shared" si="14"/>
        <v>0</v>
      </c>
    </row>
    <row r="39" spans="1:13" x14ac:dyDescent="0.45">
      <c r="B39" s="14" t="s">
        <v>78</v>
      </c>
      <c r="C39" s="16">
        <f>IFERROR(C38/B38-1,0)</f>
        <v>0</v>
      </c>
      <c r="D39" s="16">
        <f>IFERROR(D38/C38-1,0)</f>
        <v>-0.69540950134463697</v>
      </c>
      <c r="E39" s="16">
        <f t="shared" ref="E39:M39" si="15">IFERROR(E38/D38-1,0)</f>
        <v>-0.79011124197155724</v>
      </c>
      <c r="F39" s="16">
        <f t="shared" si="15"/>
        <v>-3.5528470983790919</v>
      </c>
      <c r="G39" s="16">
        <f t="shared" si="15"/>
        <v>3.6068467700681115</v>
      </c>
      <c r="H39" s="16">
        <f t="shared" si="15"/>
        <v>-0.84056344011958861</v>
      </c>
      <c r="I39" s="16">
        <f t="shared" si="15"/>
        <v>6.194349033807641</v>
      </c>
      <c r="J39" s="16">
        <f t="shared" si="15"/>
        <v>-0.70909621522659627</v>
      </c>
      <c r="K39" s="16">
        <f t="shared" si="15"/>
        <v>-7.7890852408254272</v>
      </c>
      <c r="L39" s="16">
        <f t="shared" si="15"/>
        <v>-0.42160087469100593</v>
      </c>
      <c r="M39" s="16">
        <f t="shared" si="15"/>
        <v>-1</v>
      </c>
    </row>
    <row r="41" spans="1:13" x14ac:dyDescent="0.45">
      <c r="B41" t="s">
        <v>77</v>
      </c>
      <c r="C41" s="12">
        <f>IFERROR('Data Sheet'!B31/'Historical FS'!C36,0)</f>
        <v>0.23524522028262676</v>
      </c>
      <c r="D41" s="12">
        <f>IFERROR('Data Sheet'!C31/'Historical FS'!D36,0)</f>
        <v>0</v>
      </c>
      <c r="E41" s="12">
        <f>IFERROR('Data Sheet'!D31/'Historical FS'!E36,0)</f>
        <v>0</v>
      </c>
      <c r="F41" s="12">
        <f>IFERROR('Data Sheet'!E31/'Historical FS'!F36,0)</f>
        <v>0</v>
      </c>
      <c r="G41" s="12">
        <f>IFERROR('Data Sheet'!F31/'Historical FS'!G36,0)</f>
        <v>0</v>
      </c>
      <c r="H41" s="12">
        <f>IFERROR('Data Sheet'!G31/'Historical FS'!H36,0)</f>
        <v>0</v>
      </c>
      <c r="I41" s="12">
        <f>IFERROR('Data Sheet'!H31/'Historical FS'!I36,0)</f>
        <v>0</v>
      </c>
      <c r="J41" s="12">
        <f>IFERROR('Data Sheet'!I31/'Historical FS'!J36,0)</f>
        <v>2.3063860536536898</v>
      </c>
      <c r="K41" s="12">
        <f>IFERROR('Data Sheet'!J31/'Historical FS'!K36,0)</f>
        <v>6.9230074916508713</v>
      </c>
      <c r="L41" s="12">
        <f>IFERROR('Data Sheet'!K31/'Historical FS'!L36,0)</f>
        <v>5.9978811832776469</v>
      </c>
      <c r="M41" s="12">
        <f>IFERROR('Data Sheet'!L31/'Historical FS'!M36,0)</f>
        <v>0</v>
      </c>
    </row>
    <row r="42" spans="1:13" x14ac:dyDescent="0.45">
      <c r="B42" s="14" t="s">
        <v>79</v>
      </c>
      <c r="C42" s="16">
        <f>IFERROR(C41/C38,0)</f>
        <v>4.9323400874633563E-3</v>
      </c>
      <c r="D42" s="16">
        <f t="shared" ref="D42:L42" si="16">IFERROR(D41/D38,0)</f>
        <v>0</v>
      </c>
      <c r="E42" s="16">
        <f t="shared" si="16"/>
        <v>0</v>
      </c>
      <c r="F42" s="16">
        <f t="shared" si="16"/>
        <v>0</v>
      </c>
      <c r="G42" s="16">
        <f t="shared" si="16"/>
        <v>0</v>
      </c>
      <c r="H42" s="16">
        <f t="shared" si="16"/>
        <v>0</v>
      </c>
      <c r="I42" s="16">
        <f t="shared" si="16"/>
        <v>0</v>
      </c>
      <c r="J42" s="16">
        <f t="shared" si="16"/>
        <v>-0.19275307616818721</v>
      </c>
      <c r="K42" s="16">
        <f t="shared" si="16"/>
        <v>8.5222222222222213E-2</v>
      </c>
      <c r="L42" s="16">
        <f t="shared" si="16"/>
        <v>0.12765219402208478</v>
      </c>
      <c r="M42" s="23" t="s">
        <v>59</v>
      </c>
    </row>
    <row r="44" spans="1:13" x14ac:dyDescent="0.45">
      <c r="B44" t="s">
        <v>80</v>
      </c>
      <c r="C44" s="13">
        <f>IFERROR(IF(C38&gt;C41,1-C42,0),0)</f>
        <v>0.99506765991253665</v>
      </c>
      <c r="D44" s="13">
        <f t="shared" ref="D44:M44" si="17">IFERROR(IF(D38&gt;D41,1-D42,0),0)</f>
        <v>1</v>
      </c>
      <c r="E44" s="13">
        <f t="shared" si="17"/>
        <v>1</v>
      </c>
      <c r="F44" s="13">
        <f t="shared" si="17"/>
        <v>0</v>
      </c>
      <c r="G44" s="13">
        <f t="shared" si="17"/>
        <v>0</v>
      </c>
      <c r="H44" s="13">
        <f t="shared" si="17"/>
        <v>0</v>
      </c>
      <c r="I44" s="13">
        <f t="shared" si="17"/>
        <v>0</v>
      </c>
      <c r="J44" s="13">
        <f t="shared" si="17"/>
        <v>0</v>
      </c>
      <c r="K44" s="13">
        <f t="shared" si="17"/>
        <v>0.9147777777777778</v>
      </c>
      <c r="L44" s="13">
        <f t="shared" si="17"/>
        <v>0.87234780597791528</v>
      </c>
      <c r="M44" s="13">
        <f t="shared" si="17"/>
        <v>0</v>
      </c>
    </row>
    <row r="46" spans="1:13" x14ac:dyDescent="0.45">
      <c r="A46" t="s">
        <v>57</v>
      </c>
      <c r="B46" s="21" t="s">
        <v>81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</row>
    <row r="47" spans="1:13" x14ac:dyDescent="0.45">
      <c r="B47" s="6" t="s">
        <v>31</v>
      </c>
      <c r="C47" s="12">
        <f>IFERROR('Data Sheet'!B57,0)</f>
        <v>679.18</v>
      </c>
      <c r="D47" s="12">
        <f>IFERROR('Data Sheet'!C57,0)</f>
        <v>679.22</v>
      </c>
      <c r="E47" s="12">
        <f>IFERROR('Data Sheet'!D57,0)</f>
        <v>679.22</v>
      </c>
      <c r="F47" s="12">
        <f>IFERROR('Data Sheet'!E57,0)</f>
        <v>679.22</v>
      </c>
      <c r="G47" s="12">
        <f>IFERROR('Data Sheet'!F57,0)</f>
        <v>719.54</v>
      </c>
      <c r="H47" s="12">
        <f>IFERROR('Data Sheet'!G57,0)</f>
        <v>765.81</v>
      </c>
      <c r="I47" s="12">
        <f>IFERROR('Data Sheet'!H57,0)</f>
        <v>765.88</v>
      </c>
      <c r="J47" s="12">
        <f>IFERROR('Data Sheet'!I57,0)</f>
        <v>766.02</v>
      </c>
      <c r="K47" s="12">
        <f>IFERROR('Data Sheet'!J57,0)</f>
        <v>767</v>
      </c>
      <c r="L47" s="12">
        <f>IFERROR('Data Sheet'!K57,0)</f>
        <v>736</v>
      </c>
      <c r="M47" s="12"/>
    </row>
    <row r="48" spans="1:13" x14ac:dyDescent="0.45">
      <c r="B48" s="6" t="s">
        <v>32</v>
      </c>
      <c r="C48" s="12">
        <f>IFERROR('Data Sheet'!B58,0)</f>
        <v>78273.23</v>
      </c>
      <c r="D48" s="12">
        <f>IFERROR('Data Sheet'!C58,0)</f>
        <v>57382.67</v>
      </c>
      <c r="E48" s="12">
        <f>IFERROR('Data Sheet'!D58,0)</f>
        <v>94748.69</v>
      </c>
      <c r="F48" s="12">
        <f>IFERROR('Data Sheet'!E58,0)</f>
        <v>59500.34</v>
      </c>
      <c r="G48" s="12">
        <f>IFERROR('Data Sheet'!F58,0)</f>
        <v>62358.99</v>
      </c>
      <c r="H48" s="12">
        <f>IFERROR('Data Sheet'!G58,0)</f>
        <v>54480.91</v>
      </c>
      <c r="I48" s="12">
        <f>IFERROR('Data Sheet'!H58,0)</f>
        <v>43795.360000000001</v>
      </c>
      <c r="J48" s="12">
        <f>IFERROR('Data Sheet'!I58,0)</f>
        <v>44555.77</v>
      </c>
      <c r="K48" s="12">
        <f>IFERROR('Data Sheet'!J58,0)</f>
        <v>84151</v>
      </c>
      <c r="L48" s="12">
        <f>IFERROR('Data Sheet'!K58,0)</f>
        <v>115408</v>
      </c>
      <c r="M48" s="12"/>
    </row>
    <row r="49" spans="2:13" x14ac:dyDescent="0.45">
      <c r="B49" s="6" t="s">
        <v>33</v>
      </c>
      <c r="C49" s="12">
        <f>IFERROR('Data Sheet'!B59,0)</f>
        <v>69359.960000000006</v>
      </c>
      <c r="D49" s="12">
        <f>IFERROR('Data Sheet'!C59,0)</f>
        <v>78603.98</v>
      </c>
      <c r="E49" s="12">
        <f>IFERROR('Data Sheet'!D59,0)</f>
        <v>88950.47</v>
      </c>
      <c r="F49" s="12">
        <f>IFERROR('Data Sheet'!E59,0)</f>
        <v>106175.34</v>
      </c>
      <c r="G49" s="12">
        <f>IFERROR('Data Sheet'!F59,0)</f>
        <v>124787.64</v>
      </c>
      <c r="H49" s="12">
        <f>IFERROR('Data Sheet'!G59,0)</f>
        <v>142130.57</v>
      </c>
      <c r="I49" s="12">
        <f>IFERROR('Data Sheet'!H59,0)</f>
        <v>146449.03</v>
      </c>
      <c r="J49" s="12">
        <f>IFERROR('Data Sheet'!I59,0)</f>
        <v>134113.44</v>
      </c>
      <c r="K49" s="12">
        <f>IFERROR('Data Sheet'!J59,0)</f>
        <v>107264</v>
      </c>
      <c r="L49" s="12">
        <f>IFERROR('Data Sheet'!K59,0)</f>
        <v>71540</v>
      </c>
      <c r="M49" s="12"/>
    </row>
    <row r="50" spans="2:13" x14ac:dyDescent="0.45">
      <c r="B50" s="6" t="s">
        <v>34</v>
      </c>
      <c r="C50" s="12">
        <f>IFERROR('Data Sheet'!B60,0)</f>
        <v>114871.75</v>
      </c>
      <c r="D50" s="12">
        <f>IFERROR('Data Sheet'!C60,0)</f>
        <v>135914.49</v>
      </c>
      <c r="E50" s="12">
        <f>IFERROR('Data Sheet'!D60,0)</f>
        <v>142813.43</v>
      </c>
      <c r="F50" s="12">
        <f>IFERROR('Data Sheet'!E60,0)</f>
        <v>139348.59</v>
      </c>
      <c r="G50" s="12">
        <f>IFERROR('Data Sheet'!F60,0)</f>
        <v>132313.22</v>
      </c>
      <c r="H50" s="12">
        <f>IFERROR('Data Sheet'!G60,0)</f>
        <v>144192.62</v>
      </c>
      <c r="I50" s="12">
        <f>IFERROR('Data Sheet'!H60,0)</f>
        <v>138051.22</v>
      </c>
      <c r="J50" s="12">
        <f>IFERROR('Data Sheet'!I60,0)</f>
        <v>155239.20000000001</v>
      </c>
      <c r="K50" s="12">
        <f>IFERROR('Data Sheet'!J60,0)</f>
        <v>177339</v>
      </c>
      <c r="L50" s="12">
        <f>IFERROR('Data Sheet'!K60,0)</f>
        <v>189289</v>
      </c>
      <c r="M50" s="12"/>
    </row>
    <row r="51" spans="2:13" x14ac:dyDescent="0.45">
      <c r="B51" s="31" t="s">
        <v>82</v>
      </c>
      <c r="C51" s="30">
        <f>IFERROR('Data Sheet'!B61,0)</f>
        <v>263184.12</v>
      </c>
      <c r="D51" s="30">
        <f>IFERROR('Data Sheet'!C61,0)</f>
        <v>272580.36</v>
      </c>
      <c r="E51" s="30">
        <f>IFERROR('Data Sheet'!D61,0)</f>
        <v>327191.81</v>
      </c>
      <c r="F51" s="30">
        <f>IFERROR('Data Sheet'!E61,0)</f>
        <v>305703.49</v>
      </c>
      <c r="G51" s="30">
        <f>IFERROR('Data Sheet'!F61,0)</f>
        <v>320179.39</v>
      </c>
      <c r="H51" s="30">
        <f>IFERROR('Data Sheet'!G61,0)</f>
        <v>341569.91</v>
      </c>
      <c r="I51" s="30">
        <f>IFERROR('Data Sheet'!H61,0)</f>
        <v>329061.49</v>
      </c>
      <c r="J51" s="30">
        <f>IFERROR('Data Sheet'!I61,0)</f>
        <v>334674.43</v>
      </c>
      <c r="K51" s="30">
        <f>IFERROR('Data Sheet'!J61,0)</f>
        <v>369521</v>
      </c>
      <c r="L51" s="30">
        <f>IFERROR('Data Sheet'!K61,0)</f>
        <v>376973</v>
      </c>
      <c r="M51" s="24"/>
    </row>
    <row r="52" spans="2:13" x14ac:dyDescent="0.45">
      <c r="B52" s="1"/>
    </row>
    <row r="53" spans="2:13" x14ac:dyDescent="0.45">
      <c r="B53" s="6" t="s">
        <v>83</v>
      </c>
      <c r="C53" s="12">
        <f>IFERROR('Data Sheet'!B62,0)</f>
        <v>107231.76</v>
      </c>
      <c r="D53" s="12">
        <f>IFERROR('Data Sheet'!C62,0)</f>
        <v>95944.08</v>
      </c>
      <c r="E53" s="12">
        <f>IFERROR('Data Sheet'!D62,0)</f>
        <v>121413.86</v>
      </c>
      <c r="F53" s="12">
        <f>IFERROR('Data Sheet'!E62,0)</f>
        <v>111234.47</v>
      </c>
      <c r="G53" s="12">
        <f>IFERROR('Data Sheet'!F62,0)</f>
        <v>127107.14</v>
      </c>
      <c r="H53" s="12">
        <f>IFERROR('Data Sheet'!G62,0)</f>
        <v>138707.60999999999</v>
      </c>
      <c r="I53" s="12">
        <f>IFERROR('Data Sheet'!H62,0)</f>
        <v>138855.45000000001</v>
      </c>
      <c r="J53" s="12">
        <f>IFERROR('Data Sheet'!I62,0)</f>
        <v>132079.76</v>
      </c>
      <c r="K53" s="12">
        <f>IFERROR('Data Sheet'!J62,0)</f>
        <v>121285</v>
      </c>
      <c r="L53" s="12">
        <f>IFERROR('Data Sheet'!K62,0)</f>
        <v>115697</v>
      </c>
    </row>
    <row r="54" spans="2:13" x14ac:dyDescent="0.45">
      <c r="B54" s="6" t="s">
        <v>37</v>
      </c>
      <c r="C54" s="12">
        <f>IFERROR('Data Sheet'!B63,0)</f>
        <v>25918.94</v>
      </c>
      <c r="D54" s="12">
        <f>IFERROR('Data Sheet'!C63,0)</f>
        <v>33698.839999999997</v>
      </c>
      <c r="E54" s="12">
        <f>IFERROR('Data Sheet'!D63,0)</f>
        <v>40033.5</v>
      </c>
      <c r="F54" s="12">
        <f>IFERROR('Data Sheet'!E63,0)</f>
        <v>31883.84</v>
      </c>
      <c r="G54" s="12">
        <f>IFERROR('Data Sheet'!F63,0)</f>
        <v>35622.29</v>
      </c>
      <c r="H54" s="12">
        <f>IFERROR('Data Sheet'!G63,0)</f>
        <v>20963.93</v>
      </c>
      <c r="I54" s="12">
        <f>IFERROR('Data Sheet'!H63,0)</f>
        <v>10251.09</v>
      </c>
      <c r="J54" s="12">
        <f>IFERROR('Data Sheet'!I63,0)</f>
        <v>14274.5</v>
      </c>
      <c r="K54" s="12">
        <f>IFERROR('Data Sheet'!J63,0)</f>
        <v>35698</v>
      </c>
      <c r="L54" s="12">
        <f>IFERROR('Data Sheet'!K63,0)</f>
        <v>65806</v>
      </c>
    </row>
    <row r="55" spans="2:13" x14ac:dyDescent="0.45">
      <c r="B55" s="6" t="s">
        <v>38</v>
      </c>
      <c r="C55" s="12">
        <f>IFERROR('Data Sheet'!B64,0)</f>
        <v>23767.02</v>
      </c>
      <c r="D55" s="12">
        <f>IFERROR('Data Sheet'!C64,0)</f>
        <v>20337.919999999998</v>
      </c>
      <c r="E55" s="12">
        <f>IFERROR('Data Sheet'!D64,0)</f>
        <v>20812.75</v>
      </c>
      <c r="F55" s="12">
        <f>IFERROR('Data Sheet'!E64,0)</f>
        <v>15770.72</v>
      </c>
      <c r="G55" s="12">
        <f>IFERROR('Data Sheet'!F64,0)</f>
        <v>16308.48</v>
      </c>
      <c r="H55" s="12">
        <f>IFERROR('Data Sheet'!G64,0)</f>
        <v>24620.28</v>
      </c>
      <c r="I55" s="12">
        <f>IFERROR('Data Sheet'!H64,0)</f>
        <v>29379.53</v>
      </c>
      <c r="J55" s="12">
        <f>IFERROR('Data Sheet'!I64,0)</f>
        <v>26379.16</v>
      </c>
      <c r="K55" s="12">
        <f>IFERROR('Data Sheet'!J64,0)</f>
        <v>22971</v>
      </c>
      <c r="L55" s="12">
        <f>IFERROR('Data Sheet'!K64,0)</f>
        <v>35656</v>
      </c>
    </row>
    <row r="56" spans="2:13" x14ac:dyDescent="0.45">
      <c r="B56" s="6" t="s">
        <v>39</v>
      </c>
      <c r="C56" s="12">
        <f>IFERROR('Data Sheet'!B65-SUM('Data Sheet'!B67:B69),0)</f>
        <v>29579.359999999986</v>
      </c>
      <c r="D56" s="12">
        <f>IFERROR('Data Sheet'!C65-SUM('Data Sheet'!C67:C69),0)</f>
        <v>37360.780000000013</v>
      </c>
      <c r="E56" s="12">
        <f>IFERROR('Data Sheet'!D65-SUM('Data Sheet'!D67:D69),0)</f>
        <v>48286.860000000015</v>
      </c>
      <c r="F56" s="12">
        <f>IFERROR('Data Sheet'!E65-SUM('Data Sheet'!E67:E69),0)</f>
        <v>56155.739999999991</v>
      </c>
      <c r="G56" s="12">
        <f>IFERROR('Data Sheet'!F65-SUM('Data Sheet'!F67:F69),0)</f>
        <v>58784.94</v>
      </c>
      <c r="H56" s="12">
        <f>IFERROR('Data Sheet'!G65-SUM('Data Sheet'!G67:G69),0)</f>
        <v>61717.959999999992</v>
      </c>
      <c r="I56" s="12">
        <f>IFERROR('Data Sheet'!H65-SUM('Data Sheet'!H67:H69),0)</f>
        <v>62223.770000000019</v>
      </c>
      <c r="J56" s="12">
        <f>IFERROR('Data Sheet'!I65-SUM('Data Sheet'!I67:I69),0)</f>
        <v>68432.090000000011</v>
      </c>
      <c r="K56" s="12">
        <f>IFERROR('Data Sheet'!J65-SUM('Data Sheet'!J67:J69),0)</f>
        <v>79020</v>
      </c>
      <c r="L56" s="12">
        <f>IFERROR('Data Sheet'!K65-SUM('Data Sheet'!K67:K69),0)</f>
        <v>58463</v>
      </c>
    </row>
    <row r="57" spans="2:13" x14ac:dyDescent="0.45">
      <c r="B57" s="31" t="s">
        <v>85</v>
      </c>
      <c r="C57" s="30">
        <f>IFERROR(SUM(C53:C56),0)</f>
        <v>186497.07999999996</v>
      </c>
      <c r="D57" s="30">
        <f t="shared" ref="D57:L57" si="18">IFERROR(SUM(D53:D56),0)</f>
        <v>187341.62</v>
      </c>
      <c r="E57" s="30">
        <f t="shared" si="18"/>
        <v>230546.97</v>
      </c>
      <c r="F57" s="30">
        <f t="shared" si="18"/>
        <v>215044.77</v>
      </c>
      <c r="G57" s="30">
        <f t="shared" si="18"/>
        <v>237822.85</v>
      </c>
      <c r="H57" s="30">
        <f t="shared" si="18"/>
        <v>246009.77999999997</v>
      </c>
      <c r="I57" s="30">
        <f t="shared" si="18"/>
        <v>240709.84000000003</v>
      </c>
      <c r="J57" s="30">
        <f t="shared" si="18"/>
        <v>241165.51</v>
      </c>
      <c r="K57" s="30">
        <f t="shared" si="18"/>
        <v>258974</v>
      </c>
      <c r="L57" s="30">
        <f t="shared" si="18"/>
        <v>275622</v>
      </c>
    </row>
    <row r="58" spans="2:13" x14ac:dyDescent="0.45">
      <c r="B58" s="1"/>
    </row>
    <row r="59" spans="2:13" x14ac:dyDescent="0.45">
      <c r="B59" s="6" t="s">
        <v>40</v>
      </c>
      <c r="C59" s="12">
        <f>IFERROR('Data Sheet'!B67,0)</f>
        <v>13570.91</v>
      </c>
      <c r="D59" s="12">
        <f>IFERROR('Data Sheet'!C67,0)</f>
        <v>14075.55</v>
      </c>
      <c r="E59" s="12">
        <f>IFERROR('Data Sheet'!D67,0)</f>
        <v>19893.3</v>
      </c>
      <c r="F59" s="12">
        <f>IFERROR('Data Sheet'!E67,0)</f>
        <v>18996.169999999998</v>
      </c>
      <c r="G59" s="12">
        <f>IFERROR('Data Sheet'!F67,0)</f>
        <v>11172.69</v>
      </c>
      <c r="H59" s="12">
        <f>IFERROR('Data Sheet'!G67,0)</f>
        <v>12679.08</v>
      </c>
      <c r="I59" s="12">
        <f>IFERROR('Data Sheet'!H67,0)</f>
        <v>12442.12</v>
      </c>
      <c r="J59" s="12">
        <f>IFERROR('Data Sheet'!I67,0)</f>
        <v>15737.97</v>
      </c>
      <c r="K59" s="12">
        <f>IFERROR('Data Sheet'!J67,0)</f>
        <v>16952</v>
      </c>
      <c r="L59" s="12">
        <f>IFERROR('Data Sheet'!K67,0)</f>
        <v>13248</v>
      </c>
    </row>
    <row r="60" spans="2:13" x14ac:dyDescent="0.45">
      <c r="B60" s="6" t="s">
        <v>41</v>
      </c>
      <c r="C60" s="12">
        <f>IFERROR('Data Sheet'!B68,0)</f>
        <v>32655.73</v>
      </c>
      <c r="D60" s="12">
        <f>IFERROR('Data Sheet'!C68,0)</f>
        <v>35085.31</v>
      </c>
      <c r="E60" s="12">
        <f>IFERROR('Data Sheet'!D68,0)</f>
        <v>42137.63</v>
      </c>
      <c r="F60" s="12">
        <f>IFERROR('Data Sheet'!E68,0)</f>
        <v>39013.730000000003</v>
      </c>
      <c r="G60" s="12">
        <f>IFERROR('Data Sheet'!F68,0)</f>
        <v>37456.879999999997</v>
      </c>
      <c r="H60" s="12">
        <f>IFERROR('Data Sheet'!G68,0)</f>
        <v>36088.589999999997</v>
      </c>
      <c r="I60" s="12">
        <f>IFERROR('Data Sheet'!H68,0)</f>
        <v>35240.339999999997</v>
      </c>
      <c r="J60" s="12">
        <f>IFERROR('Data Sheet'!I68,0)</f>
        <v>40755.39</v>
      </c>
      <c r="K60" s="12">
        <f>IFERROR('Data Sheet'!J68,0)</f>
        <v>47788</v>
      </c>
      <c r="L60" s="12">
        <f>IFERROR('Data Sheet'!K68,0)</f>
        <v>47269</v>
      </c>
    </row>
    <row r="61" spans="2:13" x14ac:dyDescent="0.45">
      <c r="B61" s="2" t="s">
        <v>42</v>
      </c>
      <c r="C61" s="12">
        <f>IFERROR('Data Sheet'!B69,0)</f>
        <v>30460.400000000001</v>
      </c>
      <c r="D61" s="12">
        <f>IFERROR('Data Sheet'!C69,0)</f>
        <v>36077.879999999997</v>
      </c>
      <c r="E61" s="12">
        <f>IFERROR('Data Sheet'!D69,0)</f>
        <v>34613.910000000003</v>
      </c>
      <c r="F61" s="12">
        <f>IFERROR('Data Sheet'!E69,0)</f>
        <v>32648.82</v>
      </c>
      <c r="G61" s="12">
        <f>IFERROR('Data Sheet'!F69,0)</f>
        <v>33726.97</v>
      </c>
      <c r="H61" s="12">
        <f>IFERROR('Data Sheet'!G69,0)</f>
        <v>46792.46</v>
      </c>
      <c r="I61" s="12">
        <f>IFERROR('Data Sheet'!H69,0)</f>
        <v>40669.19</v>
      </c>
      <c r="J61" s="12">
        <f>IFERROR('Data Sheet'!I69,0)</f>
        <v>37015.56</v>
      </c>
      <c r="K61" s="12">
        <f>IFERROR('Data Sheet'!J69,0)</f>
        <v>45807</v>
      </c>
      <c r="L61" s="12">
        <f>IFERROR('Data Sheet'!K69,0)</f>
        <v>40834</v>
      </c>
    </row>
    <row r="62" spans="2:13" x14ac:dyDescent="0.45">
      <c r="B62" s="32" t="s">
        <v>86</v>
      </c>
      <c r="C62" s="30">
        <f>IFERROR(SUM(C59:C61),0)</f>
        <v>76687.040000000008</v>
      </c>
      <c r="D62" s="30">
        <f t="shared" ref="D62:L62" si="19">IFERROR(SUM(D59:D61),0)</f>
        <v>85238.739999999991</v>
      </c>
      <c r="E62" s="30">
        <f t="shared" si="19"/>
        <v>96644.84</v>
      </c>
      <c r="F62" s="30">
        <f t="shared" si="19"/>
        <v>90658.72</v>
      </c>
      <c r="G62" s="30">
        <f t="shared" si="19"/>
        <v>82356.540000000008</v>
      </c>
      <c r="H62" s="30">
        <f t="shared" si="19"/>
        <v>95560.13</v>
      </c>
      <c r="I62" s="30">
        <f t="shared" si="19"/>
        <v>88351.65</v>
      </c>
      <c r="J62" s="30">
        <f t="shared" si="19"/>
        <v>93508.92</v>
      </c>
      <c r="K62" s="30">
        <f t="shared" si="19"/>
        <v>110547</v>
      </c>
      <c r="L62" s="30">
        <f t="shared" si="19"/>
        <v>101351</v>
      </c>
    </row>
    <row r="64" spans="2:13" x14ac:dyDescent="0.45">
      <c r="B64" s="32" t="s">
        <v>84</v>
      </c>
      <c r="C64" s="30">
        <f>IFERROR(C62+C57,0)</f>
        <v>263184.12</v>
      </c>
      <c r="D64" s="30">
        <f t="shared" ref="D64:L64" si="20">IFERROR(D62+D57,0)</f>
        <v>272580.36</v>
      </c>
      <c r="E64" s="30">
        <f t="shared" si="20"/>
        <v>327191.81</v>
      </c>
      <c r="F64" s="30">
        <f t="shared" si="20"/>
        <v>305703.49</v>
      </c>
      <c r="G64" s="30">
        <f t="shared" si="20"/>
        <v>320179.39</v>
      </c>
      <c r="H64" s="30">
        <f t="shared" si="20"/>
        <v>341569.91</v>
      </c>
      <c r="I64" s="30">
        <f t="shared" si="20"/>
        <v>329061.49</v>
      </c>
      <c r="J64" s="30">
        <f t="shared" si="20"/>
        <v>334674.43</v>
      </c>
      <c r="K64" s="30">
        <f t="shared" si="20"/>
        <v>369521</v>
      </c>
      <c r="L64" s="30">
        <f t="shared" si="20"/>
        <v>376973</v>
      </c>
    </row>
    <row r="66" spans="1:13" x14ac:dyDescent="0.45">
      <c r="B66" s="25" t="s">
        <v>87</v>
      </c>
      <c r="C66" s="25" t="b">
        <f>C64=C51</f>
        <v>1</v>
      </c>
      <c r="D66" s="25" t="b">
        <f t="shared" ref="D66:L66" si="21">D64=D51</f>
        <v>1</v>
      </c>
      <c r="E66" s="25" t="b">
        <f t="shared" si="21"/>
        <v>1</v>
      </c>
      <c r="F66" s="25" t="b">
        <f t="shared" si="21"/>
        <v>1</v>
      </c>
      <c r="G66" s="25" t="b">
        <f t="shared" si="21"/>
        <v>1</v>
      </c>
      <c r="H66" s="25" t="b">
        <f t="shared" si="21"/>
        <v>1</v>
      </c>
      <c r="I66" s="25" t="b">
        <f t="shared" si="21"/>
        <v>1</v>
      </c>
      <c r="J66" s="25" t="b">
        <f t="shared" si="21"/>
        <v>1</v>
      </c>
      <c r="K66" s="25" t="b">
        <f t="shared" si="21"/>
        <v>1</v>
      </c>
      <c r="L66" s="25" t="b">
        <f t="shared" si="21"/>
        <v>1</v>
      </c>
    </row>
    <row r="68" spans="1:13" x14ac:dyDescent="0.45">
      <c r="A68" t="s">
        <v>57</v>
      </c>
      <c r="B68" s="21" t="s">
        <v>117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</row>
    <row r="69" spans="1:13" x14ac:dyDescent="0.45">
      <c r="B69" s="8" t="s">
        <v>121</v>
      </c>
    </row>
    <row r="70" spans="1:13" x14ac:dyDescent="0.45">
      <c r="B70" t="s">
        <v>88</v>
      </c>
      <c r="C70" s="12">
        <f>IFERROR('Cash Flow Data'!E4,0)</f>
        <v>38626</v>
      </c>
      <c r="D70" s="12">
        <f>IFERROR('Cash Flow Data'!F4,0)</f>
        <v>28840</v>
      </c>
      <c r="E70" s="12">
        <f>IFERROR('Cash Flow Data'!G4,0)</f>
        <v>33312</v>
      </c>
      <c r="F70" s="12">
        <f>IFERROR('Cash Flow Data'!H4,0)</f>
        <v>28771</v>
      </c>
      <c r="G70" s="12">
        <f>IFERROR('Cash Flow Data'!I4,0)</f>
        <v>23352</v>
      </c>
      <c r="H70" s="12">
        <f>IFERROR('Cash Flow Data'!J4,0)</f>
        <v>31198</v>
      </c>
      <c r="I70" s="12">
        <f>IFERROR('Cash Flow Data'!K4,0)</f>
        <v>26943</v>
      </c>
      <c r="J70" s="12">
        <f>IFERROR('Cash Flow Data'!L4,0)</f>
        <v>41694</v>
      </c>
      <c r="K70" s="12">
        <f>IFERROR('Cash Flow Data'!M4,0)</f>
        <v>65106</v>
      </c>
      <c r="L70" s="12">
        <f>IFERROR('Cash Flow Data'!N4,0)</f>
        <v>58937</v>
      </c>
    </row>
    <row r="71" spans="1:13" x14ac:dyDescent="0.45">
      <c r="B71" t="s">
        <v>40</v>
      </c>
      <c r="C71" s="12">
        <f>IFERROR('Cash Flow Data'!E5,0)</f>
        <v>-2223</v>
      </c>
      <c r="D71" s="12">
        <f>IFERROR('Cash Flow Data'!F5,0)</f>
        <v>-4152</v>
      </c>
      <c r="E71" s="12">
        <f>IFERROR('Cash Flow Data'!G5,0)</f>
        <v>-10688</v>
      </c>
      <c r="F71" s="12">
        <f>IFERROR('Cash Flow Data'!H5,0)</f>
        <v>-9109</v>
      </c>
      <c r="G71" s="12">
        <f>IFERROR('Cash Flow Data'!I5,0)</f>
        <v>9950</v>
      </c>
      <c r="H71" s="12">
        <f>IFERROR('Cash Flow Data'!J5,0)</f>
        <v>-5505</v>
      </c>
      <c r="I71" s="12">
        <f>IFERROR('Cash Flow Data'!K5,0)</f>
        <v>185</v>
      </c>
      <c r="J71" s="12">
        <f>IFERROR('Cash Flow Data'!L5,0)</f>
        <v>-2213</v>
      </c>
      <c r="K71" s="12">
        <f>IFERROR('Cash Flow Data'!M5,0)</f>
        <v>-1876</v>
      </c>
      <c r="L71" s="12">
        <f>IFERROR('Cash Flow Data'!N5,0)</f>
        <v>3573</v>
      </c>
    </row>
    <row r="72" spans="1:13" x14ac:dyDescent="0.45">
      <c r="B72" t="s">
        <v>41</v>
      </c>
      <c r="C72" s="12">
        <f>IFERROR('Cash Flow Data'!E6,0)</f>
        <v>-5743</v>
      </c>
      <c r="D72" s="12">
        <f>IFERROR('Cash Flow Data'!F6,0)</f>
        <v>-6621</v>
      </c>
      <c r="E72" s="12">
        <f>IFERROR('Cash Flow Data'!G6,0)</f>
        <v>-3560</v>
      </c>
      <c r="F72" s="12">
        <f>IFERROR('Cash Flow Data'!H6,0)</f>
        <v>2069</v>
      </c>
      <c r="G72" s="12">
        <f>IFERROR('Cash Flow Data'!I6,0)</f>
        <v>2326</v>
      </c>
      <c r="H72" s="12">
        <f>IFERROR('Cash Flow Data'!J6,0)</f>
        <v>3814</v>
      </c>
      <c r="I72" s="12">
        <f>IFERROR('Cash Flow Data'!K6,0)</f>
        <v>472</v>
      </c>
      <c r="J72" s="12">
        <f>IFERROR('Cash Flow Data'!L6,0)</f>
        <v>-5665</v>
      </c>
      <c r="K72" s="12">
        <f>IFERROR('Cash Flow Data'!M6,0)</f>
        <v>-7265</v>
      </c>
      <c r="L72" s="12">
        <f>IFERROR('Cash Flow Data'!N6,0)</f>
        <v>2127</v>
      </c>
    </row>
    <row r="73" spans="1:13" x14ac:dyDescent="0.45">
      <c r="B73" t="s">
        <v>89</v>
      </c>
      <c r="C73" s="12">
        <f>IFERROR('Cash Flow Data'!E7,0)</f>
        <v>3947</v>
      </c>
      <c r="D73" s="12">
        <f>IFERROR('Cash Flow Data'!F7,0)</f>
        <v>9301</v>
      </c>
      <c r="E73" s="12">
        <f>IFERROR('Cash Flow Data'!G7,0)</f>
        <v>7320</v>
      </c>
      <c r="F73" s="12">
        <f>IFERROR('Cash Flow Data'!H7,0)</f>
        <v>-4692</v>
      </c>
      <c r="G73" s="12">
        <f>IFERROR('Cash Flow Data'!I7,0)</f>
        <v>-8085</v>
      </c>
      <c r="H73" s="12">
        <f>IFERROR('Cash Flow Data'!J7,0)</f>
        <v>5748</v>
      </c>
      <c r="I73" s="12">
        <f>IFERROR('Cash Flow Data'!K7,0)</f>
        <v>-7012</v>
      </c>
      <c r="J73" s="12">
        <f>IFERROR('Cash Flow Data'!L7,0)</f>
        <v>6945</v>
      </c>
      <c r="K73" s="12">
        <f>IFERROR('Cash Flow Data'!M7,0)</f>
        <v>13706</v>
      </c>
      <c r="L73" s="12">
        <f>IFERROR('Cash Flow Data'!N7,0)</f>
        <v>1303</v>
      </c>
    </row>
    <row r="74" spans="1:13" x14ac:dyDescent="0.45">
      <c r="B74" t="s">
        <v>90</v>
      </c>
      <c r="C74" s="12">
        <f>IFERROR('Cash Flow Data'!E8,0)</f>
        <v>-520</v>
      </c>
      <c r="D74" s="12">
        <f>IFERROR('Cash Flow Data'!F8,0)</f>
        <v>0</v>
      </c>
      <c r="E74" s="12">
        <f>IFERROR('Cash Flow Data'!G8,0)</f>
        <v>0</v>
      </c>
      <c r="F74" s="12">
        <f>IFERROR('Cash Flow Data'!H8,0)</f>
        <v>0</v>
      </c>
      <c r="G74" s="12">
        <f>IFERROR('Cash Flow Data'!I8,0)</f>
        <v>0</v>
      </c>
      <c r="H74" s="12">
        <f>IFERROR('Cash Flow Data'!J8,0)</f>
        <v>0</v>
      </c>
      <c r="I74" s="12">
        <f>IFERROR('Cash Flow Data'!K8,0)</f>
        <v>0</v>
      </c>
      <c r="J74" s="12">
        <f>IFERROR('Cash Flow Data'!L8,0)</f>
        <v>0</v>
      </c>
      <c r="K74" s="12">
        <f>IFERROR('Cash Flow Data'!M8,0)</f>
        <v>0</v>
      </c>
      <c r="L74" s="12">
        <f>IFERROR('Cash Flow Data'!N8,0)</f>
        <v>0</v>
      </c>
    </row>
    <row r="75" spans="1:13" x14ac:dyDescent="0.45">
      <c r="B75" t="s">
        <v>91</v>
      </c>
      <c r="C75" s="12">
        <f>IFERROR('Cash Flow Data'!E9,0)</f>
        <v>5852</v>
      </c>
      <c r="D75" s="12">
        <f>IFERROR('Cash Flow Data'!F9,0)</f>
        <v>4727</v>
      </c>
      <c r="E75" s="12">
        <f>IFERROR('Cash Flow Data'!G9,0)</f>
        <v>494</v>
      </c>
      <c r="F75" s="12">
        <f>IFERROR('Cash Flow Data'!H9,0)</f>
        <v>4512</v>
      </c>
      <c r="G75" s="12">
        <f>IFERROR('Cash Flow Data'!I9,0)</f>
        <v>875</v>
      </c>
      <c r="H75" s="12">
        <f>IFERROR('Cash Flow Data'!J9,0)</f>
        <v>-4150</v>
      </c>
      <c r="I75" s="12">
        <f>IFERROR('Cash Flow Data'!K9,0)</f>
        <v>-4396</v>
      </c>
      <c r="J75" s="12">
        <f>IFERROR('Cash Flow Data'!L9,0)</f>
        <v>-2194</v>
      </c>
      <c r="K75" s="12">
        <f>IFERROR('Cash Flow Data'!M9,0)</f>
        <v>2760</v>
      </c>
      <c r="L75" s="12">
        <f>IFERROR('Cash Flow Data'!N9,0)</f>
        <v>1153</v>
      </c>
    </row>
    <row r="76" spans="1:13" x14ac:dyDescent="0.45">
      <c r="B76" t="s">
        <v>92</v>
      </c>
      <c r="C76" s="12">
        <f>IFERROR('Cash Flow Data'!E10,0)</f>
        <v>1313</v>
      </c>
      <c r="D76" s="12">
        <f>IFERROR('Cash Flow Data'!F10,0)</f>
        <v>3254</v>
      </c>
      <c r="E76" s="12">
        <f>IFERROR('Cash Flow Data'!G10,0)</f>
        <v>-6434</v>
      </c>
      <c r="F76" s="12">
        <f>IFERROR('Cash Flow Data'!H10,0)</f>
        <v>-7221</v>
      </c>
      <c r="G76" s="12">
        <f>IFERROR('Cash Flow Data'!I10,0)</f>
        <v>5065</v>
      </c>
      <c r="H76" s="12">
        <f>IFERROR('Cash Flow Data'!J10,0)</f>
        <v>-93</v>
      </c>
      <c r="I76" s="12">
        <f>IFERROR('Cash Flow Data'!K10,0)</f>
        <v>-10750</v>
      </c>
      <c r="J76" s="12">
        <f>IFERROR('Cash Flow Data'!L10,0)</f>
        <v>-3127</v>
      </c>
      <c r="K76" s="12">
        <f>IFERROR('Cash Flow Data'!M10,0)</f>
        <v>7325</v>
      </c>
      <c r="L76" s="12">
        <f>IFERROR('Cash Flow Data'!N10,0)</f>
        <v>8156</v>
      </c>
    </row>
    <row r="77" spans="1:13" x14ac:dyDescent="0.45">
      <c r="B77" t="s">
        <v>93</v>
      </c>
      <c r="C77" s="12">
        <f>IFERROR('Cash Flow Data'!E11,0)</f>
        <v>-2040</v>
      </c>
      <c r="D77" s="12">
        <f>IFERROR('Cash Flow Data'!F11,0)</f>
        <v>-1895</v>
      </c>
      <c r="E77" s="12">
        <f>IFERROR('Cash Flow Data'!G11,0)</f>
        <v>-3021</v>
      </c>
      <c r="F77" s="12">
        <f>IFERROR('Cash Flow Data'!H11,0)</f>
        <v>-2659</v>
      </c>
      <c r="G77" s="12">
        <f>IFERROR('Cash Flow Data'!I11,0)</f>
        <v>-1785</v>
      </c>
      <c r="H77" s="12">
        <f>IFERROR('Cash Flow Data'!J11,0)</f>
        <v>-2105</v>
      </c>
      <c r="I77" s="12">
        <f>IFERROR('Cash Flow Data'!K11,0)</f>
        <v>-1910</v>
      </c>
      <c r="J77" s="12">
        <f>IFERROR('Cash Flow Data'!L11,0)</f>
        <v>-3179</v>
      </c>
      <c r="K77" s="12">
        <f>IFERROR('Cash Flow Data'!M11,0)</f>
        <v>-4516</v>
      </c>
      <c r="L77" s="12">
        <f>IFERROR('Cash Flow Data'!N11,0)</f>
        <v>-3991</v>
      </c>
    </row>
    <row r="78" spans="1:13" x14ac:dyDescent="0.45">
      <c r="B78" s="29" t="s">
        <v>118</v>
      </c>
      <c r="C78" s="30">
        <f>IFERROR(SUM(C70:C77),0)</f>
        <v>39212</v>
      </c>
      <c r="D78" s="30">
        <f t="shared" ref="D78:L78" si="22">IFERROR(SUM(D70:D77),0)</f>
        <v>33454</v>
      </c>
      <c r="E78" s="30">
        <f t="shared" si="22"/>
        <v>17423</v>
      </c>
      <c r="F78" s="30">
        <f t="shared" si="22"/>
        <v>11671</v>
      </c>
      <c r="G78" s="30">
        <f t="shared" si="22"/>
        <v>31698</v>
      </c>
      <c r="H78" s="30">
        <f t="shared" si="22"/>
        <v>28907</v>
      </c>
      <c r="I78" s="30">
        <f t="shared" si="22"/>
        <v>3532</v>
      </c>
      <c r="J78" s="30">
        <f t="shared" si="22"/>
        <v>32261</v>
      </c>
      <c r="K78" s="30">
        <f t="shared" si="22"/>
        <v>75240</v>
      </c>
      <c r="L78" s="30">
        <f t="shared" si="22"/>
        <v>71258</v>
      </c>
    </row>
    <row r="80" spans="1:13" x14ac:dyDescent="0.45">
      <c r="B80" s="8" t="s">
        <v>122</v>
      </c>
    </row>
    <row r="81" spans="2:12" x14ac:dyDescent="0.45">
      <c r="B81" t="s">
        <v>94</v>
      </c>
      <c r="C81" s="12">
        <f>IFERROR('Cash Flow Data'!E13,0)</f>
        <v>-31503</v>
      </c>
      <c r="D81" s="12">
        <f>IFERROR('Cash Flow Data'!F13,0)</f>
        <v>-16072</v>
      </c>
      <c r="E81" s="12">
        <f>IFERROR('Cash Flow Data'!G13,0)</f>
        <v>-35079</v>
      </c>
      <c r="F81" s="12">
        <f>IFERROR('Cash Flow Data'!H13,0)</f>
        <v>-35304</v>
      </c>
      <c r="G81" s="12">
        <f>IFERROR('Cash Flow Data'!I13,0)</f>
        <v>-29702</v>
      </c>
      <c r="H81" s="12">
        <f>IFERROR('Cash Flow Data'!J13,0)</f>
        <v>-20205</v>
      </c>
      <c r="I81" s="12">
        <f>IFERROR('Cash Flow Data'!K13,0)</f>
        <v>-15168</v>
      </c>
      <c r="J81" s="12">
        <f>IFERROR('Cash Flow Data'!L13,0)</f>
        <v>-19230</v>
      </c>
      <c r="K81" s="12">
        <f>IFERROR('Cash Flow Data'!M13,0)</f>
        <v>-31414</v>
      </c>
      <c r="L81" s="12">
        <f>IFERROR('Cash Flow Data'!N13,0)</f>
        <v>-38042</v>
      </c>
    </row>
    <row r="82" spans="2:12" x14ac:dyDescent="0.45">
      <c r="B82" t="s">
        <v>95</v>
      </c>
      <c r="C82" s="12">
        <f>IFERROR('Cash Flow Data'!E14,0)</f>
        <v>59</v>
      </c>
      <c r="D82" s="12">
        <f>IFERROR('Cash Flow Data'!F14,0)</f>
        <v>53</v>
      </c>
      <c r="E82" s="12">
        <f>IFERROR('Cash Flow Data'!G14,0)</f>
        <v>30</v>
      </c>
      <c r="F82" s="12">
        <f>IFERROR('Cash Flow Data'!H14,0)</f>
        <v>67</v>
      </c>
      <c r="G82" s="12">
        <f>IFERROR('Cash Flow Data'!I14,0)</f>
        <v>171</v>
      </c>
      <c r="H82" s="12">
        <f>IFERROR('Cash Flow Data'!J14,0)</f>
        <v>351</v>
      </c>
      <c r="I82" s="12">
        <f>IFERROR('Cash Flow Data'!K14,0)</f>
        <v>230</v>
      </c>
      <c r="J82" s="12">
        <f>IFERROR('Cash Flow Data'!L14,0)</f>
        <v>285</v>
      </c>
      <c r="K82" s="12">
        <f>IFERROR('Cash Flow Data'!M14,0)</f>
        <v>231</v>
      </c>
      <c r="L82" s="12">
        <f>IFERROR('Cash Flow Data'!N14,0)</f>
        <v>974</v>
      </c>
    </row>
    <row r="83" spans="2:12" x14ac:dyDescent="0.45">
      <c r="B83" t="s">
        <v>96</v>
      </c>
      <c r="C83" s="12">
        <f>IFERROR('Cash Flow Data'!E15,0)</f>
        <v>-4728</v>
      </c>
      <c r="D83" s="12">
        <f>IFERROR('Cash Flow Data'!F15,0)</f>
        <v>-6</v>
      </c>
      <c r="E83" s="12">
        <f>IFERROR('Cash Flow Data'!G15,0)</f>
        <v>-329</v>
      </c>
      <c r="F83" s="12">
        <f>IFERROR('Cash Flow Data'!H15,0)</f>
        <v>-130</v>
      </c>
      <c r="G83" s="12">
        <f>IFERROR('Cash Flow Data'!I15,0)</f>
        <v>-1439</v>
      </c>
      <c r="H83" s="12">
        <f>IFERROR('Cash Flow Data'!J15,0)</f>
        <v>-7530</v>
      </c>
      <c r="I83" s="12">
        <f>IFERROR('Cash Flow Data'!K15,0)</f>
        <v>-3008</v>
      </c>
      <c r="J83" s="12">
        <f>IFERROR('Cash Flow Data'!L15,0)</f>
        <v>-50</v>
      </c>
      <c r="K83" s="12">
        <f>IFERROR('Cash Flow Data'!M15,0)</f>
        <v>-74</v>
      </c>
      <c r="L83" s="12">
        <f>IFERROR('Cash Flow Data'!N15,0)</f>
        <v>-12677</v>
      </c>
    </row>
    <row r="84" spans="2:12" x14ac:dyDescent="0.45">
      <c r="B84" t="s">
        <v>97</v>
      </c>
      <c r="C84" s="12">
        <f>IFERROR('Cash Flow Data'!E16,0)</f>
        <v>89</v>
      </c>
      <c r="D84" s="12">
        <f>IFERROR('Cash Flow Data'!F16,0)</f>
        <v>1965</v>
      </c>
      <c r="E84" s="12">
        <f>IFERROR('Cash Flow Data'!G16,0)</f>
        <v>2381</v>
      </c>
      <c r="F84" s="12">
        <f>IFERROR('Cash Flow Data'!H16,0)</f>
        <v>5644</v>
      </c>
      <c r="G84" s="12">
        <f>IFERROR('Cash Flow Data'!I16,0)</f>
        <v>21</v>
      </c>
      <c r="H84" s="12">
        <f>IFERROR('Cash Flow Data'!J16,0)</f>
        <v>226</v>
      </c>
      <c r="I84" s="12">
        <f>IFERROR('Cash Flow Data'!K16,0)</f>
        <v>104</v>
      </c>
      <c r="J84" s="12">
        <f>IFERROR('Cash Flow Data'!L16,0)</f>
        <v>6895</v>
      </c>
      <c r="K84" s="12">
        <f>IFERROR('Cash Flow Data'!M16,0)</f>
        <v>10821</v>
      </c>
      <c r="L84" s="12">
        <f>IFERROR('Cash Flow Data'!N16,0)</f>
        <v>111</v>
      </c>
    </row>
    <row r="85" spans="2:12" x14ac:dyDescent="0.45">
      <c r="B85" t="s">
        <v>98</v>
      </c>
      <c r="C85" s="12">
        <f>IFERROR('Cash Flow Data'!E17,0)</f>
        <v>731</v>
      </c>
      <c r="D85" s="12">
        <f>IFERROR('Cash Flow Data'!F17,0)</f>
        <v>638</v>
      </c>
      <c r="E85" s="12">
        <f>IFERROR('Cash Flow Data'!G17,0)</f>
        <v>690</v>
      </c>
      <c r="F85" s="12">
        <f>IFERROR('Cash Flow Data'!H17,0)</f>
        <v>761</v>
      </c>
      <c r="G85" s="12">
        <f>IFERROR('Cash Flow Data'!I17,0)</f>
        <v>1104</v>
      </c>
      <c r="H85" s="12">
        <f>IFERROR('Cash Flow Data'!J17,0)</f>
        <v>428</v>
      </c>
      <c r="I85" s="12">
        <f>IFERROR('Cash Flow Data'!K17,0)</f>
        <v>653</v>
      </c>
      <c r="J85" s="12">
        <f>IFERROR('Cash Flow Data'!L17,0)</f>
        <v>973</v>
      </c>
      <c r="K85" s="12">
        <f>IFERROR('Cash Flow Data'!M17,0)</f>
        <v>2493</v>
      </c>
      <c r="L85" s="12">
        <f>IFERROR('Cash Flow Data'!N17,0)</f>
        <v>2420</v>
      </c>
    </row>
    <row r="86" spans="2:12" x14ac:dyDescent="0.45">
      <c r="B86" t="s">
        <v>99</v>
      </c>
      <c r="C86" s="12">
        <f>IFERROR('Cash Flow Data'!E18,0)</f>
        <v>58</v>
      </c>
      <c r="D86" s="12">
        <f>IFERROR('Cash Flow Data'!F18,0)</f>
        <v>620</v>
      </c>
      <c r="E86" s="12">
        <f>IFERROR('Cash Flow Data'!G18,0)</f>
        <v>1797</v>
      </c>
      <c r="F86" s="12">
        <f>IFERROR('Cash Flow Data'!H18,0)</f>
        <v>232</v>
      </c>
      <c r="G86" s="12">
        <f>IFERROR('Cash Flow Data'!I18,0)</f>
        <v>21</v>
      </c>
      <c r="H86" s="12">
        <f>IFERROR('Cash Flow Data'!J18,0)</f>
        <v>18</v>
      </c>
      <c r="I86" s="12">
        <f>IFERROR('Cash Flow Data'!K18,0)</f>
        <v>32</v>
      </c>
      <c r="J86" s="12">
        <f>IFERROR('Cash Flow Data'!L18,0)</f>
        <v>46</v>
      </c>
      <c r="K86" s="12">
        <f>IFERROR('Cash Flow Data'!M18,0)</f>
        <v>47</v>
      </c>
      <c r="L86" s="12">
        <f>IFERROR('Cash Flow Data'!N18,0)</f>
        <v>64</v>
      </c>
    </row>
    <row r="87" spans="2:12" x14ac:dyDescent="0.45">
      <c r="B87" t="s">
        <v>100</v>
      </c>
      <c r="C87" s="12">
        <f>IFERROR('Cash Flow Data'!E19,0)</f>
        <v>0</v>
      </c>
      <c r="D87" s="12">
        <f>IFERROR('Cash Flow Data'!F19,0)</f>
        <v>-107</v>
      </c>
      <c r="E87" s="12">
        <f>IFERROR('Cash Flow Data'!G19,0)</f>
        <v>-4</v>
      </c>
      <c r="F87" s="12">
        <f>IFERROR('Cash Flow Data'!H19,0)</f>
        <v>-9</v>
      </c>
      <c r="G87" s="12">
        <f>IFERROR('Cash Flow Data'!I19,0)</f>
        <v>-606</v>
      </c>
      <c r="H87" s="12">
        <f>IFERROR('Cash Flow Data'!J19,0)</f>
        <v>-10</v>
      </c>
      <c r="I87" s="12">
        <f>IFERROR('Cash Flow Data'!K19,0)</f>
        <v>0</v>
      </c>
      <c r="J87" s="12">
        <f>IFERROR('Cash Flow Data'!L19,0)</f>
        <v>0</v>
      </c>
      <c r="K87" s="12">
        <f>IFERROR('Cash Flow Data'!M19,0)</f>
        <v>-150</v>
      </c>
      <c r="L87" s="12">
        <f>IFERROR('Cash Flow Data'!N19,0)</f>
        <v>0</v>
      </c>
    </row>
    <row r="88" spans="2:12" x14ac:dyDescent="0.45">
      <c r="B88" t="s">
        <v>101</v>
      </c>
      <c r="C88" s="12">
        <f>IFERROR('Cash Flow Data'!E20,0)</f>
        <v>0</v>
      </c>
      <c r="D88" s="12">
        <f>IFERROR('Cash Flow Data'!F20,0)</f>
        <v>0</v>
      </c>
      <c r="E88" s="12">
        <f>IFERROR('Cash Flow Data'!G20,0)</f>
        <v>14</v>
      </c>
      <c r="F88" s="12">
        <f>IFERROR('Cash Flow Data'!H20,0)</f>
        <v>533</v>
      </c>
      <c r="G88" s="12">
        <f>IFERROR('Cash Flow Data'!I20,0)</f>
        <v>0</v>
      </c>
      <c r="H88" s="12">
        <f>IFERROR('Cash Flow Data'!J20,0)</f>
        <v>0</v>
      </c>
      <c r="I88" s="12">
        <f>IFERROR('Cash Flow Data'!K20,0)</f>
        <v>0</v>
      </c>
      <c r="J88" s="12">
        <f>IFERROR('Cash Flow Data'!L20,0)</f>
        <v>19</v>
      </c>
      <c r="K88" s="12">
        <f>IFERROR('Cash Flow Data'!M20,0)</f>
        <v>107</v>
      </c>
      <c r="L88" s="12">
        <f>IFERROR('Cash Flow Data'!N20,0)</f>
        <v>765</v>
      </c>
    </row>
    <row r="89" spans="2:12" x14ac:dyDescent="0.45">
      <c r="B89" t="s">
        <v>102</v>
      </c>
      <c r="C89" s="12">
        <f>IFERROR('Cash Flow Data'!E21,0)</f>
        <v>-111</v>
      </c>
      <c r="D89" s="12">
        <f>IFERROR('Cash Flow Data'!F21,0)</f>
        <v>0</v>
      </c>
      <c r="E89" s="12">
        <f>IFERROR('Cash Flow Data'!G21,0)</f>
        <v>0</v>
      </c>
      <c r="F89" s="12">
        <f>IFERROR('Cash Flow Data'!H21,0)</f>
        <v>-8</v>
      </c>
      <c r="G89" s="12">
        <f>IFERROR('Cash Flow Data'!I21,0)</f>
        <v>-27</v>
      </c>
      <c r="H89" s="12">
        <f>IFERROR('Cash Flow Data'!J21,0)</f>
        <v>0</v>
      </c>
      <c r="I89" s="12">
        <f>IFERROR('Cash Flow Data'!K21,0)</f>
        <v>-98</v>
      </c>
      <c r="J89" s="12">
        <f>IFERROR('Cash Flow Data'!L21,0)</f>
        <v>0</v>
      </c>
      <c r="K89" s="12">
        <f>IFERROR('Cash Flow Data'!M21,0)</f>
        <v>0</v>
      </c>
      <c r="L89" s="12">
        <f>IFERROR('Cash Flow Data'!N21,0)</f>
        <v>-688</v>
      </c>
    </row>
    <row r="90" spans="2:12" x14ac:dyDescent="0.45">
      <c r="B90" t="s">
        <v>103</v>
      </c>
      <c r="C90" s="12">
        <f>IFERROR('Cash Flow Data'!E22,0)</f>
        <v>0</v>
      </c>
      <c r="D90" s="12">
        <f>IFERROR('Cash Flow Data'!F22,0)</f>
        <v>0</v>
      </c>
      <c r="E90" s="12">
        <f>IFERROR('Cash Flow Data'!G22,0)</f>
        <v>0</v>
      </c>
      <c r="F90" s="12">
        <f>IFERROR('Cash Flow Data'!H22,0)</f>
        <v>0</v>
      </c>
      <c r="G90" s="12">
        <f>IFERROR('Cash Flow Data'!I22,0)</f>
        <v>0</v>
      </c>
      <c r="H90" s="12">
        <f>IFERROR('Cash Flow Data'!J22,0)</f>
        <v>0</v>
      </c>
      <c r="I90" s="12">
        <f>IFERROR('Cash Flow Data'!K22,0)</f>
        <v>0</v>
      </c>
      <c r="J90" s="12">
        <f>IFERROR('Cash Flow Data'!L22,0)</f>
        <v>0</v>
      </c>
      <c r="K90" s="12">
        <f>IFERROR('Cash Flow Data'!M22,0)</f>
        <v>-25</v>
      </c>
      <c r="L90" s="12">
        <f>IFERROR('Cash Flow Data'!N22,0)</f>
        <v>-20</v>
      </c>
    </row>
    <row r="91" spans="2:12" x14ac:dyDescent="0.45">
      <c r="B91" t="s">
        <v>104</v>
      </c>
      <c r="C91" s="12">
        <f>IFERROR('Cash Flow Data'!E23,0)</f>
        <v>-1289</v>
      </c>
      <c r="D91" s="12">
        <f>IFERROR('Cash Flow Data'!F23,0)</f>
        <v>-26663</v>
      </c>
      <c r="E91" s="12">
        <f>IFERROR('Cash Flow Data'!G23,0)</f>
        <v>5360</v>
      </c>
      <c r="F91" s="12">
        <f>IFERROR('Cash Flow Data'!H23,0)</f>
        <v>7335</v>
      </c>
      <c r="G91" s="12">
        <f>IFERROR('Cash Flow Data'!I23,0)</f>
        <v>-2659</v>
      </c>
      <c r="H91" s="12">
        <f>IFERROR('Cash Flow Data'!J23,0)</f>
        <v>1051</v>
      </c>
      <c r="I91" s="12">
        <f>IFERROR('Cash Flow Data'!K23,0)</f>
        <v>12813</v>
      </c>
      <c r="J91" s="12">
        <f>IFERROR('Cash Flow Data'!L23,0)</f>
        <v>-4357</v>
      </c>
      <c r="K91" s="12">
        <f>IFERROR('Cash Flow Data'!M23,0)</f>
        <v>-4817</v>
      </c>
      <c r="L91" s="12">
        <f>IFERROR('Cash Flow Data'!N23,0)</f>
        <v>-2889</v>
      </c>
    </row>
    <row r="92" spans="2:12" x14ac:dyDescent="0.45">
      <c r="B92" s="29" t="s">
        <v>120</v>
      </c>
      <c r="C92" s="30">
        <f>IFERROR(SUM(C81:C91),0)</f>
        <v>-36694</v>
      </c>
      <c r="D92" s="30">
        <f t="shared" ref="D92:L92" si="23">IFERROR(SUM(D81:D91),0)</f>
        <v>-39572</v>
      </c>
      <c r="E92" s="30">
        <f t="shared" si="23"/>
        <v>-25140</v>
      </c>
      <c r="F92" s="30">
        <f t="shared" si="23"/>
        <v>-20879</v>
      </c>
      <c r="G92" s="30">
        <f t="shared" si="23"/>
        <v>-33116</v>
      </c>
      <c r="H92" s="30">
        <f t="shared" si="23"/>
        <v>-25671</v>
      </c>
      <c r="I92" s="30">
        <f t="shared" si="23"/>
        <v>-4442</v>
      </c>
      <c r="J92" s="30">
        <f t="shared" si="23"/>
        <v>-15419</v>
      </c>
      <c r="K92" s="30">
        <f t="shared" si="23"/>
        <v>-22781</v>
      </c>
      <c r="L92" s="30">
        <f t="shared" si="23"/>
        <v>-49982</v>
      </c>
    </row>
    <row r="94" spans="2:12" x14ac:dyDescent="0.45">
      <c r="B94" s="8" t="s">
        <v>123</v>
      </c>
    </row>
    <row r="95" spans="2:12" x14ac:dyDescent="0.45">
      <c r="B95" t="s">
        <v>105</v>
      </c>
      <c r="C95" s="12">
        <f>IFERROR('Cash Flow Data'!E25,0)</f>
        <v>7433</v>
      </c>
      <c r="D95" s="12">
        <f>IFERROR('Cash Flow Data'!F25,0)</f>
        <v>5</v>
      </c>
      <c r="E95" s="12">
        <f>IFERROR('Cash Flow Data'!G25,0)</f>
        <v>0</v>
      </c>
      <c r="F95" s="12">
        <f>IFERROR('Cash Flow Data'!H25,0)</f>
        <v>0</v>
      </c>
      <c r="G95" s="12">
        <f>IFERROR('Cash Flow Data'!I25,0)</f>
        <v>3889</v>
      </c>
      <c r="H95" s="12">
        <f>IFERROR('Cash Flow Data'!J25,0)</f>
        <v>2603</v>
      </c>
      <c r="I95" s="12">
        <f>IFERROR('Cash Flow Data'!K25,0)</f>
        <v>19</v>
      </c>
      <c r="J95" s="12">
        <f>IFERROR('Cash Flow Data'!L25,0)</f>
        <v>20</v>
      </c>
      <c r="K95" s="12">
        <f>IFERROR('Cash Flow Data'!M25,0)</f>
        <v>82</v>
      </c>
      <c r="L95" s="12">
        <f>IFERROR('Cash Flow Data'!N25,0)</f>
        <v>1108</v>
      </c>
    </row>
    <row r="96" spans="2:12" x14ac:dyDescent="0.45">
      <c r="B96" t="s">
        <v>106</v>
      </c>
      <c r="C96" s="12">
        <f>IFERROR('Cash Flow Data'!E26,0)</f>
        <v>0</v>
      </c>
      <c r="D96" s="12">
        <f>IFERROR('Cash Flow Data'!F26,0)</f>
        <v>0</v>
      </c>
      <c r="E96" s="12">
        <f>IFERROR('Cash Flow Data'!G26,0)</f>
        <v>0</v>
      </c>
      <c r="F96" s="12">
        <f>IFERROR('Cash Flow Data'!H26,0)</f>
        <v>0</v>
      </c>
      <c r="G96" s="12">
        <f>IFERROR('Cash Flow Data'!I26,0)</f>
        <v>0</v>
      </c>
      <c r="H96" s="12">
        <f>IFERROR('Cash Flow Data'!J26,0)</f>
        <v>0</v>
      </c>
      <c r="I96" s="12">
        <f>IFERROR('Cash Flow Data'!K26,0)</f>
        <v>0</v>
      </c>
      <c r="J96" s="12">
        <f>IFERROR('Cash Flow Data'!L26,0)</f>
        <v>0</v>
      </c>
      <c r="K96" s="12">
        <f>IFERROR('Cash Flow Data'!M26,0)</f>
        <v>0</v>
      </c>
      <c r="L96" s="12">
        <f>IFERROR('Cash Flow Data'!N26,0)</f>
        <v>0</v>
      </c>
    </row>
    <row r="97" spans="2:12" x14ac:dyDescent="0.45">
      <c r="B97" t="s">
        <v>107</v>
      </c>
      <c r="C97" s="12">
        <f>IFERROR('Cash Flow Data'!E27,0)</f>
        <v>19519</v>
      </c>
      <c r="D97" s="12">
        <f>IFERROR('Cash Flow Data'!F27,0)</f>
        <v>33390</v>
      </c>
      <c r="E97" s="12">
        <f>IFERROR('Cash Flow Data'!G27,0)</f>
        <v>37482</v>
      </c>
      <c r="F97" s="12">
        <f>IFERROR('Cash Flow Data'!H27,0)</f>
        <v>51128</v>
      </c>
      <c r="G97" s="12">
        <f>IFERROR('Cash Flow Data'!I27,0)</f>
        <v>38297</v>
      </c>
      <c r="H97" s="12">
        <f>IFERROR('Cash Flow Data'!J27,0)</f>
        <v>46641</v>
      </c>
      <c r="I97" s="12">
        <f>IFERROR('Cash Flow Data'!K27,0)</f>
        <v>46578</v>
      </c>
      <c r="J97" s="12">
        <f>IFERROR('Cash Flow Data'!L27,0)</f>
        <v>43934</v>
      </c>
      <c r="K97" s="12">
        <f>IFERROR('Cash Flow Data'!M27,0)</f>
        <v>18829</v>
      </c>
      <c r="L97" s="12">
        <f>IFERROR('Cash Flow Data'!N27,0)</f>
        <v>13384</v>
      </c>
    </row>
    <row r="98" spans="2:12" x14ac:dyDescent="0.45">
      <c r="B98" t="s">
        <v>108</v>
      </c>
      <c r="C98" s="12">
        <f>IFERROR('Cash Flow Data'!E28,0)</f>
        <v>-24924</v>
      </c>
      <c r="D98" s="12">
        <f>IFERROR('Cash Flow Data'!F28,0)</f>
        <v>-21732</v>
      </c>
      <c r="E98" s="12">
        <f>IFERROR('Cash Flow Data'!G28,0)</f>
        <v>-29964</v>
      </c>
      <c r="F98" s="12">
        <f>IFERROR('Cash Flow Data'!H28,0)</f>
        <v>-35198</v>
      </c>
      <c r="G98" s="12">
        <f>IFERROR('Cash Flow Data'!I28,0)</f>
        <v>-29847</v>
      </c>
      <c r="H98" s="12">
        <f>IFERROR('Cash Flow Data'!J28,0)</f>
        <v>-29709</v>
      </c>
      <c r="I98" s="12">
        <f>IFERROR('Cash Flow Data'!K28,0)</f>
        <v>-42816</v>
      </c>
      <c r="J98" s="12">
        <f>IFERROR('Cash Flow Data'!L28,0)</f>
        <v>-62557</v>
      </c>
      <c r="K98" s="12">
        <f>IFERROR('Cash Flow Data'!M28,0)</f>
        <v>-47414</v>
      </c>
      <c r="L98" s="12">
        <f>IFERROR('Cash Flow Data'!N28,0)</f>
        <v>-21443</v>
      </c>
    </row>
    <row r="99" spans="2:12" x14ac:dyDescent="0.45">
      <c r="B99" t="s">
        <v>109</v>
      </c>
      <c r="C99" s="12">
        <f>IFERROR('Cash Flow Data'!E29,0)</f>
        <v>-5716</v>
      </c>
      <c r="D99" s="12">
        <f>IFERROR('Cash Flow Data'!F29,0)</f>
        <v>-5336</v>
      </c>
      <c r="E99" s="12">
        <f>IFERROR('Cash Flow Data'!G29,0)</f>
        <v>-5411</v>
      </c>
      <c r="F99" s="12">
        <f>IFERROR('Cash Flow Data'!H29,0)</f>
        <v>-7005</v>
      </c>
      <c r="G99" s="12">
        <f>IFERROR('Cash Flow Data'!I29,0)</f>
        <v>-7518</v>
      </c>
      <c r="H99" s="12">
        <f>IFERROR('Cash Flow Data'!J29,0)</f>
        <v>-8123</v>
      </c>
      <c r="I99" s="12">
        <f>IFERROR('Cash Flow Data'!K29,0)</f>
        <v>-9251</v>
      </c>
      <c r="J99" s="12">
        <f>IFERROR('Cash Flow Data'!L29,0)</f>
        <v>-9336</v>
      </c>
      <c r="K99" s="12">
        <f>IFERROR('Cash Flow Data'!M29,0)</f>
        <v>-9332</v>
      </c>
      <c r="L99" s="12">
        <f>IFERROR('Cash Flow Data'!N29,0)</f>
        <v>-5814</v>
      </c>
    </row>
    <row r="100" spans="2:12" x14ac:dyDescent="0.45">
      <c r="B100" t="s">
        <v>110</v>
      </c>
      <c r="C100" s="12">
        <f>IFERROR('Cash Flow Data'!E30,0)</f>
        <v>-108</v>
      </c>
      <c r="D100" s="12">
        <f>IFERROR('Cash Flow Data'!F30,0)</f>
        <v>-121</v>
      </c>
      <c r="E100" s="12">
        <f>IFERROR('Cash Flow Data'!G30,0)</f>
        <v>-96</v>
      </c>
      <c r="F100" s="12">
        <f>IFERROR('Cash Flow Data'!H30,0)</f>
        <v>-95</v>
      </c>
      <c r="G100" s="12">
        <f>IFERROR('Cash Flow Data'!I30,0)</f>
        <v>-57</v>
      </c>
      <c r="H100" s="12">
        <f>IFERROR('Cash Flow Data'!J30,0)</f>
        <v>-30</v>
      </c>
      <c r="I100" s="12">
        <f>IFERROR('Cash Flow Data'!K30,0)</f>
        <v>-100</v>
      </c>
      <c r="J100" s="12">
        <f>IFERROR('Cash Flow Data'!L30,0)</f>
        <v>-141</v>
      </c>
      <c r="K100" s="12">
        <f>IFERROR('Cash Flow Data'!M30,0)</f>
        <v>-1059</v>
      </c>
      <c r="L100" s="12">
        <f>IFERROR('Cash Flow Data'!N30,0)</f>
        <v>-2492</v>
      </c>
    </row>
    <row r="101" spans="2:12" x14ac:dyDescent="0.45">
      <c r="B101" t="s">
        <v>111</v>
      </c>
      <c r="C101" s="12">
        <f>IFERROR('Cash Flow Data'!E31,0)</f>
        <v>0</v>
      </c>
      <c r="D101" s="12">
        <f>IFERROR('Cash Flow Data'!F31,0)</f>
        <v>0</v>
      </c>
      <c r="E101" s="12">
        <f>IFERROR('Cash Flow Data'!G31,0)</f>
        <v>0</v>
      </c>
      <c r="F101" s="12">
        <f>IFERROR('Cash Flow Data'!H31,0)</f>
        <v>0</v>
      </c>
      <c r="G101" s="12">
        <f>IFERROR('Cash Flow Data'!I31,0)</f>
        <v>-1346</v>
      </c>
      <c r="H101" s="12">
        <f>IFERROR('Cash Flow Data'!J31,0)</f>
        <v>-1477</v>
      </c>
      <c r="I101" s="12">
        <f>IFERROR('Cash Flow Data'!K31,0)</f>
        <v>-1559</v>
      </c>
      <c r="J101" s="12">
        <f>IFERROR('Cash Flow Data'!L31,0)</f>
        <v>-1517</v>
      </c>
      <c r="K101" s="12">
        <f>IFERROR('Cash Flow Data'!M31,0)</f>
        <v>-1924</v>
      </c>
      <c r="L101" s="12">
        <f>IFERROR('Cash Flow Data'!N31,0)</f>
        <v>-2393</v>
      </c>
    </row>
    <row r="102" spans="2:12" x14ac:dyDescent="0.45">
      <c r="B102" t="s">
        <v>112</v>
      </c>
      <c r="C102" s="12">
        <f>IFERROR('Cash Flow Data'!E32,0)</f>
        <v>0</v>
      </c>
      <c r="D102" s="12">
        <f>IFERROR('Cash Flow Data'!F32,0)</f>
        <v>0</v>
      </c>
      <c r="E102" s="12">
        <f>IFERROR('Cash Flow Data'!G32,0)</f>
        <v>0</v>
      </c>
      <c r="F102" s="12">
        <f>IFERROR('Cash Flow Data'!H32,0)</f>
        <v>0</v>
      </c>
      <c r="G102" s="12">
        <f>IFERROR('Cash Flow Data'!I32,0)</f>
        <v>-29</v>
      </c>
      <c r="H102" s="12">
        <f>IFERROR('Cash Flow Data'!J32,0)</f>
        <v>0</v>
      </c>
      <c r="I102" s="12">
        <f>IFERROR('Cash Flow Data'!K32,0)</f>
        <v>3750</v>
      </c>
      <c r="J102" s="12">
        <f>IFERROR('Cash Flow Data'!L32,0)</f>
        <v>3355</v>
      </c>
      <c r="K102" s="12">
        <f>IFERROR('Cash Flow Data'!M32,0)</f>
        <v>3812</v>
      </c>
      <c r="L102" s="12">
        <f>IFERROR('Cash Flow Data'!N32,0)</f>
        <v>-1136</v>
      </c>
    </row>
    <row r="103" spans="2:12" x14ac:dyDescent="0.45">
      <c r="B103" s="29" t="s">
        <v>124</v>
      </c>
      <c r="C103" s="30">
        <f>IFERROR(SUM(C95:C102),0)</f>
        <v>-3796</v>
      </c>
      <c r="D103" s="30">
        <f t="shared" ref="D103:L103" si="24">IFERROR(SUM(D95:D102),0)</f>
        <v>6206</v>
      </c>
      <c r="E103" s="30">
        <f t="shared" si="24"/>
        <v>2011</v>
      </c>
      <c r="F103" s="30">
        <f t="shared" si="24"/>
        <v>8830</v>
      </c>
      <c r="G103" s="30">
        <f t="shared" si="24"/>
        <v>3389</v>
      </c>
      <c r="H103" s="30">
        <f t="shared" si="24"/>
        <v>9905</v>
      </c>
      <c r="I103" s="30">
        <f t="shared" si="24"/>
        <v>-3379</v>
      </c>
      <c r="J103" s="30">
        <f t="shared" si="24"/>
        <v>-26242</v>
      </c>
      <c r="K103" s="30">
        <f t="shared" si="24"/>
        <v>-37006</v>
      </c>
      <c r="L103" s="30">
        <f t="shared" si="24"/>
        <v>-18786</v>
      </c>
    </row>
    <row r="104" spans="2:12" x14ac:dyDescent="0.45">
      <c r="C104" s="12"/>
      <c r="D104" s="12"/>
      <c r="E104" s="12"/>
      <c r="F104" s="12"/>
      <c r="G104" s="12"/>
      <c r="H104" s="12"/>
      <c r="I104" s="12"/>
      <c r="J104" s="12"/>
      <c r="K104" s="12"/>
      <c r="L104" s="12"/>
    </row>
    <row r="105" spans="2:12" x14ac:dyDescent="0.45">
      <c r="B105" s="29" t="s">
        <v>50</v>
      </c>
      <c r="C105" s="30">
        <f>IFERROR(SUM(C103+C92+C78),0)</f>
        <v>-1278</v>
      </c>
      <c r="D105" s="30">
        <f t="shared" ref="D105:L105" si="25">IFERROR(SUM(D103+D92+D78),0)</f>
        <v>88</v>
      </c>
      <c r="E105" s="30">
        <f t="shared" si="25"/>
        <v>-5706</v>
      </c>
      <c r="F105" s="30">
        <f t="shared" si="25"/>
        <v>-378</v>
      </c>
      <c r="G105" s="30">
        <f t="shared" si="25"/>
        <v>1971</v>
      </c>
      <c r="H105" s="30">
        <f t="shared" si="25"/>
        <v>13141</v>
      </c>
      <c r="I105" s="30">
        <f t="shared" si="25"/>
        <v>-4289</v>
      </c>
      <c r="J105" s="30">
        <f t="shared" si="25"/>
        <v>-9400</v>
      </c>
      <c r="K105" s="30">
        <f t="shared" si="25"/>
        <v>15453</v>
      </c>
      <c r="L105" s="30">
        <f t="shared" si="25"/>
        <v>2490</v>
      </c>
    </row>
  </sheetData>
  <mergeCells count="1">
    <mergeCell ref="B2:M2"/>
  </mergeCells>
  <pageMargins left="0.7" right="0.7" top="0.75" bottom="0.75" header="0.3" footer="0.3"/>
  <ignoredErrors>
    <ignoredError sqref="M6 M9 C15:M15 M21 M24 M27 M30 M3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F7F0C-F6D3-4AFC-AE76-39DC038A11CE}">
  <dimension ref="B2:O40"/>
  <sheetViews>
    <sheetView showGridLines="0" zoomScale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27" sqref="C27"/>
    </sheetView>
  </sheetViews>
  <sheetFormatPr defaultRowHeight="14.25" x14ac:dyDescent="0.45"/>
  <cols>
    <col min="1" max="1" width="1.73046875" customWidth="1"/>
    <col min="2" max="2" width="25.86328125" bestFit="1" customWidth="1"/>
    <col min="3" max="12" width="11.59765625" customWidth="1"/>
    <col min="13" max="13" width="15.59765625" customWidth="1"/>
    <col min="14" max="15" width="11.59765625" customWidth="1"/>
  </cols>
  <sheetData>
    <row r="2" spans="2:15" x14ac:dyDescent="0.45">
      <c r="B2" s="60" t="str">
        <f>"Ratio Analysis - "&amp;'Data Sheet'!B1</f>
        <v>Ratio Analysis - TATA MOTORS PASSENGER VEHICLES LTD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</row>
    <row r="3" spans="2:15" x14ac:dyDescent="0.45">
      <c r="B3" s="54" t="s">
        <v>54</v>
      </c>
      <c r="C3" s="10">
        <f>'Data Sheet'!B16</f>
        <v>42460</v>
      </c>
      <c r="D3" s="10">
        <f>'Data Sheet'!C16</f>
        <v>42825</v>
      </c>
      <c r="E3" s="10">
        <f>'Data Sheet'!D16</f>
        <v>43190</v>
      </c>
      <c r="F3" s="10">
        <f>'Data Sheet'!E16</f>
        <v>43555</v>
      </c>
      <c r="G3" s="10">
        <f>'Data Sheet'!F16</f>
        <v>43921</v>
      </c>
      <c r="H3" s="10">
        <f>'Data Sheet'!G16</f>
        <v>44286</v>
      </c>
      <c r="I3" s="10">
        <f>'Data Sheet'!H16</f>
        <v>44651</v>
      </c>
      <c r="J3" s="10">
        <f>'Data Sheet'!I16</f>
        <v>45016</v>
      </c>
      <c r="K3" s="10">
        <f>'Data Sheet'!J16</f>
        <v>45382</v>
      </c>
      <c r="L3" s="10">
        <f>'Data Sheet'!K16</f>
        <v>45747</v>
      </c>
      <c r="M3" s="55" t="s">
        <v>154</v>
      </c>
      <c r="N3" s="56" t="s">
        <v>152</v>
      </c>
      <c r="O3" s="56" t="s">
        <v>153</v>
      </c>
    </row>
    <row r="5" spans="2:15" x14ac:dyDescent="0.45">
      <c r="B5" s="37" t="s">
        <v>58</v>
      </c>
      <c r="C5" s="47" t="s">
        <v>59</v>
      </c>
      <c r="D5" s="48">
        <f>IFERROR('Historical FS'!D7,0)</f>
        <v>-1.2280329732469508E-2</v>
      </c>
      <c r="E5" s="48">
        <f>IFERROR('Historical FS'!E7,0)</f>
        <v>8.104774581985974E-2</v>
      </c>
      <c r="F5" s="48">
        <f>IFERROR('Historical FS'!F7,0)</f>
        <v>3.5629919045237157E-2</v>
      </c>
      <c r="G5" s="48">
        <f>IFERROR('Historical FS'!G7,0)</f>
        <v>-0.135360159555724</v>
      </c>
      <c r="H5" s="48">
        <f>IFERROR('Historical FS'!H7,0)</f>
        <v>-4.3181168490336042E-2</v>
      </c>
      <c r="I5" s="48">
        <f>IFERROR('Historical FS'!I7,0)</f>
        <v>0.11472967306158344</v>
      </c>
      <c r="J5" s="48">
        <f>IFERROR('Historical FS'!J7,0)</f>
        <v>0.24245815155859707</v>
      </c>
      <c r="K5" s="48">
        <f>IFERROR('Historical FS'!K7,0)</f>
        <v>0.25450126062612277</v>
      </c>
      <c r="L5" s="48">
        <f>IFERROR('Historical FS'!L7,0)</f>
        <v>1.3084771068347711E-2</v>
      </c>
      <c r="M5" s="37"/>
      <c r="N5" s="48">
        <f>IFERROR(AVERAGE(D5:L5),0)</f>
        <v>6.1181095933468703E-2</v>
      </c>
      <c r="O5" s="48">
        <f>IFERROR(MEDIAN(D5:L5),0)</f>
        <v>3.5629919045237157E-2</v>
      </c>
    </row>
    <row r="6" spans="2:15" x14ac:dyDescent="0.45">
      <c r="B6" t="s">
        <v>125</v>
      </c>
      <c r="C6" s="49" t="s">
        <v>59</v>
      </c>
      <c r="D6" s="50">
        <f>IFERROR(('Historical FS'!D18/'Historical FS'!C18)-1,0)</f>
        <v>-0.22936587208052905</v>
      </c>
      <c r="E6" s="50">
        <f>IFERROR(('Historical FS'!E18/'Historical FS'!D18)-1,0)</f>
        <v>6.3165689322506102E-2</v>
      </c>
      <c r="F6" s="50">
        <f>IFERROR(('Historical FS'!F18/'Historical FS'!E18)-1,0)</f>
        <v>-0.21595203460649259</v>
      </c>
      <c r="G6" s="50">
        <f>IFERROR(('Historical FS'!G18/'Historical FS'!F18)-1,0)</f>
        <v>-0.27072537547138131</v>
      </c>
      <c r="H6" s="50">
        <f>IFERROR(('Historical FS'!H18/'Historical FS'!G18)-1,0)</f>
        <v>0.79503554497758966</v>
      </c>
      <c r="I6" s="50">
        <f>IFERROR(('Historical FS'!I18/'Historical FS'!H18)-1,0)</f>
        <v>-0.234374182150762</v>
      </c>
      <c r="J6" s="50">
        <f>IFERROR(('Historical FS'!J18/'Historical FS'!I18)-1,0)</f>
        <v>0.28704223973294352</v>
      </c>
      <c r="K6" s="50">
        <f>IFERROR(('Historical FS'!K18/'Historical FS'!J18)-1,0)</f>
        <v>0.81699030041677645</v>
      </c>
      <c r="L6" s="50">
        <f>IFERROR(('Historical FS'!L18/'Historical FS'!K18)-1,0)</f>
        <v>-2.8905533740421041E-2</v>
      </c>
      <c r="N6" s="50">
        <f t="shared" ref="N6:N9" si="0">IFERROR(AVERAGE(D6:L6),0)</f>
        <v>0.10921230848891442</v>
      </c>
      <c r="O6" s="50">
        <f t="shared" ref="O6:O9" si="1">IFERROR(MEDIAN(D6:L6),0)</f>
        <v>-2.8905533740421041E-2</v>
      </c>
    </row>
    <row r="7" spans="2:15" x14ac:dyDescent="0.45">
      <c r="B7" t="s">
        <v>126</v>
      </c>
      <c r="C7" s="51" t="s">
        <v>59</v>
      </c>
      <c r="D7" s="39">
        <f>IFERROR(('Historical FS'!D27/'Historical FS'!C27)-1,0)</f>
        <v>-0.55668251823863213</v>
      </c>
      <c r="E7" s="39">
        <f>IFERROR(('Historical FS'!E27/'Historical FS'!D27)-1,0)</f>
        <v>-0.29861436616351744</v>
      </c>
      <c r="F7" s="39">
        <f>IFERROR(('Historical FS'!F27/'Historical FS'!E27)-1,0)</f>
        <v>-1.897095149646705</v>
      </c>
      <c r="G7" s="39">
        <f>IFERROR(('Historical FS'!G27/'Historical FS'!F27)-1,0)</f>
        <v>1.2800251873039095</v>
      </c>
      <c r="H7" s="39">
        <f>IFERROR(('Historical FS'!H27/'Historical FS'!G27)-1,0)</f>
        <v>-1.0602479570180365</v>
      </c>
      <c r="I7" s="39">
        <f>IFERROR(('Historical FS'!I27/'Historical FS'!H27)-1,0)</f>
        <v>-15.64914925025267</v>
      </c>
      <c r="J7" s="39">
        <f>IFERROR(('Historical FS'!J27/'Historical FS'!I27)-1,0)</f>
        <v>-0.65313668793078505</v>
      </c>
      <c r="K7" s="39">
        <f>IFERROR(('Historical FS'!K27/'Historical FS'!J27)-1,0)</f>
        <v>-8.0262137466207566</v>
      </c>
      <c r="L7" s="39">
        <f>IFERROR(('Historical FS'!L27/'Historical FS'!K27)-1,0)</f>
        <v>0.20991469359331472</v>
      </c>
      <c r="N7" s="50">
        <f t="shared" si="0"/>
        <v>-2.9612444216637646</v>
      </c>
      <c r="O7" s="50">
        <f t="shared" si="1"/>
        <v>-0.65313668793078505</v>
      </c>
    </row>
    <row r="8" spans="2:15" x14ac:dyDescent="0.45">
      <c r="B8" t="s">
        <v>127</v>
      </c>
      <c r="C8" s="51" t="s">
        <v>59</v>
      </c>
      <c r="D8" s="39">
        <f>IFERROR(('Historical FS'!D33/'Historical FS'!C33)-1,0)</f>
        <v>-0.69539895165986787</v>
      </c>
      <c r="E8" s="39">
        <f>IFERROR(('Historical FS'!E33/'Historical FS'!D33)-1,0)</f>
        <v>-0.79011124197155724</v>
      </c>
      <c r="F8" s="39">
        <f>IFERROR(('Historical FS'!F33/'Historical FS'!E33)-1,0)</f>
        <v>-3.5528470983790919</v>
      </c>
      <c r="G8" s="39">
        <f>IFERROR(('Historical FS'!G33/'Historical FS'!F33)-1,0)</f>
        <v>3.9286702707513577</v>
      </c>
      <c r="H8" s="39">
        <f>IFERROR(('Historical FS'!H33/'Historical FS'!G33)-1,0)</f>
        <v>-0.82862505348950144</v>
      </c>
      <c r="I8" s="39">
        <f>IFERROR(('Historical FS'!I33/'Historical FS'!H33)-1,0)</f>
        <v>6.1952157445306248</v>
      </c>
      <c r="J8" s="39">
        <f>IFERROR(('Historical FS'!J33/'Historical FS'!I33)-1,0)</f>
        <v>-0.7090436533357708</v>
      </c>
      <c r="K8" s="39">
        <f>IFERROR(('Historical FS'!K33/'Historical FS'!J33)-1,0)</f>
        <v>-7.7939910923227265</v>
      </c>
      <c r="L8" s="39">
        <f>IFERROR(('Historical FS'!L33/'Historical FS'!K33)-1,0)</f>
        <v>-0.35937037037037034</v>
      </c>
      <c r="N8" s="50">
        <f t="shared" si="0"/>
        <v>-0.51172238291632255</v>
      </c>
      <c r="O8" s="50">
        <f t="shared" si="1"/>
        <v>-0.7090436533357708</v>
      </c>
    </row>
    <row r="9" spans="2:15" x14ac:dyDescent="0.45">
      <c r="B9" s="33" t="s">
        <v>128</v>
      </c>
      <c r="C9" s="52" t="s">
        <v>59</v>
      </c>
      <c r="D9" s="35">
        <f>IFERROR(('Historical FS'!D41/'Historical FS'!C41)-1,0)</f>
        <v>-1</v>
      </c>
      <c r="E9" s="35">
        <f>IFERROR(('Historical FS'!E41/'Historical FS'!D41)-1,0)</f>
        <v>0</v>
      </c>
      <c r="F9" s="35">
        <f>IFERROR(('Historical FS'!F41/'Historical FS'!E41)-1,0)</f>
        <v>0</v>
      </c>
      <c r="G9" s="35">
        <f>IFERROR(('Historical FS'!G41/'Historical FS'!F41)-1,0)</f>
        <v>0</v>
      </c>
      <c r="H9" s="35">
        <f>IFERROR(('Historical FS'!H41/'Historical FS'!G41)-1,0)</f>
        <v>0</v>
      </c>
      <c r="I9" s="35">
        <f>IFERROR(('Historical FS'!I41/'Historical FS'!H41)-1,0)</f>
        <v>0</v>
      </c>
      <c r="J9" s="35">
        <f>IFERROR(('Historical FS'!J41/'Historical FS'!I41)-1,0)</f>
        <v>0</v>
      </c>
      <c r="K9" s="35">
        <f>IFERROR(('Historical FS'!K41/'Historical FS'!J41)-1,0)</f>
        <v>2.0016689880185949</v>
      </c>
      <c r="L9" s="35">
        <f>IFERROR(('Historical FS'!L41/'Historical FS'!K41)-1,0)</f>
        <v>-0.1336306958339889</v>
      </c>
      <c r="M9" s="33"/>
      <c r="N9" s="53">
        <f t="shared" si="0"/>
        <v>9.6448699131622892E-2</v>
      </c>
      <c r="O9" s="53">
        <f t="shared" si="1"/>
        <v>0</v>
      </c>
    </row>
    <row r="11" spans="2:15" x14ac:dyDescent="0.45">
      <c r="B11" s="37" t="s">
        <v>70</v>
      </c>
      <c r="C11" s="38">
        <f>IFERROR('Historical FS'!C13,0)</f>
        <v>0.24734524196690946</v>
      </c>
      <c r="D11" s="38">
        <f>IFERROR('Historical FS'!D13,0)</f>
        <v>0.23819078253229964</v>
      </c>
      <c r="E11" s="38">
        <f>IFERROR('Historical FS'!E13,0)</f>
        <v>0.21649990080619999</v>
      </c>
      <c r="F11" s="38">
        <f>IFERROR('Historical FS'!F13,0)</f>
        <v>0.19571167496416494</v>
      </c>
      <c r="G11" s="38">
        <f>IFERROR('Historical FS'!G13,0)</f>
        <v>0.19417127271491774</v>
      </c>
      <c r="H11" s="38">
        <f>IFERROR('Historical FS'!H13,0)</f>
        <v>0.2180538622208833</v>
      </c>
      <c r="I11" s="38">
        <f>IFERROR('Historical FS'!I13,0)</f>
        <v>0.19807108271747378</v>
      </c>
      <c r="J11" s="38">
        <f>IFERROR('Historical FS'!J13,0)</f>
        <v>0.20685017994636876</v>
      </c>
      <c r="K11" s="38">
        <f>IFERROR('Historical FS'!K13,0)</f>
        <v>0.22956757354567572</v>
      </c>
      <c r="L11" s="38">
        <f>IFERROR('Historical FS'!L13,0)</f>
        <v>0.22489680346603896</v>
      </c>
      <c r="M11" s="37"/>
      <c r="N11" s="48">
        <f>IFERROR(AVERAGE(C11:L11),0)</f>
        <v>0.2169358374880932</v>
      </c>
      <c r="O11" s="48">
        <f t="shared" ref="O11:O15" si="2">IFERROR(MEDIAN(D11:L11),0)</f>
        <v>0.21649990080619999</v>
      </c>
    </row>
    <row r="12" spans="2:15" x14ac:dyDescent="0.45">
      <c r="B12" t="s">
        <v>66</v>
      </c>
      <c r="C12" s="39">
        <f>IFERROR('Historical FS'!C19,0)</f>
        <v>0.14061845347443788</v>
      </c>
      <c r="D12" s="39">
        <f>IFERROR('Historical FS'!D19,0)</f>
        <v>0.10971268723777329</v>
      </c>
      <c r="E12" s="39">
        <f>IFERROR('Historical FS'!E19,0)</f>
        <v>0.10789788444182975</v>
      </c>
      <c r="F12" s="39">
        <f>IFERROR('Historical FS'!F19,0)</f>
        <v>8.1686628795807431E-2</v>
      </c>
      <c r="G12" s="39">
        <f>IFERROR('Historical FS'!G19,0)</f>
        <v>6.8898034485042198E-2</v>
      </c>
      <c r="H12" s="39">
        <f>IFERROR('Historical FS'!H19,0)</f>
        <v>0.12925583904385496</v>
      </c>
      <c r="I12" s="39">
        <f>IFERROR('Historical FS'!I19,0)</f>
        <v>8.877632835227646E-2</v>
      </c>
      <c r="J12" s="39">
        <f>IFERROR('Historical FS'!J19,0)</f>
        <v>9.1961958102532049E-2</v>
      </c>
      <c r="K12" s="39">
        <f>IFERROR('Historical FS'!K19,0)</f>
        <v>0.13319555039445549</v>
      </c>
      <c r="L12" s="39">
        <f>IFERROR('Historical FS'!L19,0)</f>
        <v>0.12767486553178908</v>
      </c>
      <c r="N12" s="50">
        <f t="shared" ref="N12:N40" si="3">IFERROR(AVERAGE(C12:L12),0)</f>
        <v>0.10796782298597987</v>
      </c>
      <c r="O12" s="50">
        <f t="shared" si="2"/>
        <v>0.10789788444182975</v>
      </c>
    </row>
    <row r="13" spans="2:15" x14ac:dyDescent="0.45">
      <c r="B13" t="s">
        <v>131</v>
      </c>
      <c r="C13" s="39">
        <f>IFERROR((('Historical FS'!C18-'Historical FS'!C24)/'Historical FS'!C6),0)</f>
        <v>7.941702777851016E-2</v>
      </c>
      <c r="D13" s="39">
        <f>IFERROR((('Historical FS'!D18-'Historical FS'!D24)/'Historical FS'!D6),0)</f>
        <v>4.3322300645279484E-2</v>
      </c>
      <c r="E13" s="39">
        <f>IFERROR((('Historical FS'!E18-'Historical FS'!E24)/'Historical FS'!E6),0)</f>
        <v>3.3970412259310953E-2</v>
      </c>
      <c r="F13" s="39">
        <f>IFERROR((('Historical FS'!F18-'Historical FS'!F24)/'Historical FS'!F6),0)</f>
        <v>3.5560233478087663E-3</v>
      </c>
      <c r="G13" s="39">
        <f>IFERROR((('Historical FS'!G18-'Historical FS'!G24)/'Historical FS'!G6),0)</f>
        <v>-1.3170363258273456E-2</v>
      </c>
      <c r="H13" s="39">
        <f>IFERROR((('Historical FS'!H18-'Historical FS'!H24)/'Historical FS'!H6),0)</f>
        <v>3.4991608110258483E-2</v>
      </c>
      <c r="I13" s="39">
        <f>IFERROR((('Historical FS'!I18-'Historical FS'!I24)/'Historical FS'!I6),0)</f>
        <v>-4.1514992694289269E-4</v>
      </c>
      <c r="J13" s="39">
        <f>IFERROR((('Historical FS'!J18-'Historical FS'!J24)/'Historical FS'!J6),0)</f>
        <v>2.0104346955433228E-2</v>
      </c>
      <c r="K13" s="39">
        <f>IFERROR((('Historical FS'!K18-'Historical FS'!K24)/'Historical FS'!K6),0)</f>
        <v>7.0435191329351915E-2</v>
      </c>
      <c r="L13" s="39">
        <f>IFERROR((('Historical FS'!L18-'Historical FS'!L24)/'Historical FS'!L6),0)</f>
        <v>7.478365685304586E-2</v>
      </c>
      <c r="N13" s="50">
        <f t="shared" si="3"/>
        <v>3.4699505409378252E-2</v>
      </c>
      <c r="O13" s="50">
        <f t="shared" si="2"/>
        <v>3.3970412259310953E-2</v>
      </c>
    </row>
    <row r="14" spans="2:15" x14ac:dyDescent="0.45">
      <c r="B14" t="s">
        <v>130</v>
      </c>
      <c r="C14" s="39">
        <f>IFERROR('Historical FS'!C28,0)</f>
        <v>6.1511300676516931E-2</v>
      </c>
      <c r="D14" s="39">
        <f>IFERROR('Historical FS'!D28,0)</f>
        <v>2.7608071132565179E-2</v>
      </c>
      <c r="E14" s="39">
        <f>IFERROR('Historical FS'!E28,0)</f>
        <v>1.7912163958707913E-2</v>
      </c>
      <c r="F14" s="39">
        <f>IFERROR('Historical FS'!F28,0)</f>
        <v>-1.5516078776333117E-2</v>
      </c>
      <c r="G14" s="39">
        <f>IFERROR('Historical FS'!G28,0)</f>
        <v>-4.0915360088026265E-2</v>
      </c>
      <c r="H14" s="39">
        <f>IFERROR('Historical FS'!H28,0)</f>
        <v>2.5763151547420113E-3</v>
      </c>
      <c r="I14" s="39">
        <f>IFERROR('Historical FS'!I28,0)</f>
        <v>-3.3856482095653805E-2</v>
      </c>
      <c r="J14" s="39">
        <f>IFERROR('Historical FS'!J28,0)</f>
        <v>-9.4518849588445895E-3</v>
      </c>
      <c r="K14" s="39">
        <f>IFERROR('Historical FS'!K28,0)</f>
        <v>5.2938140529381408E-2</v>
      </c>
      <c r="L14" s="39">
        <f>IFERROR('Historical FS'!L28,0)</f>
        <v>6.3223370745630489E-2</v>
      </c>
      <c r="N14" s="50">
        <f t="shared" si="3"/>
        <v>1.2602955627868617E-2</v>
      </c>
      <c r="O14" s="50">
        <f t="shared" si="2"/>
        <v>2.5763151547420113E-3</v>
      </c>
    </row>
    <row r="15" spans="2:15" x14ac:dyDescent="0.45">
      <c r="B15" s="33" t="s">
        <v>129</v>
      </c>
      <c r="C15" s="35">
        <f>IFERROR('Historical FS'!C34,0)</f>
        <v>5.0432381990407359E-2</v>
      </c>
      <c r="D15" s="35">
        <f>IFERROR('Historical FS'!D34,0)</f>
        <v>1.5552749314395296E-2</v>
      </c>
      <c r="E15" s="35">
        <f>IFERROR('Historical FS'!E34,0)</f>
        <v>3.01961430487095E-3</v>
      </c>
      <c r="F15" s="35">
        <f>IFERROR('Historical FS'!F34,0)</f>
        <v>-7.4434056747998256E-3</v>
      </c>
      <c r="G15" s="35">
        <f>IFERROR('Historical FS'!G34,0)</f>
        <v>-4.2429333632923408E-2</v>
      </c>
      <c r="H15" s="35">
        <f>IFERROR('Historical FS'!H34,0)</f>
        <v>-7.5994791724005731E-3</v>
      </c>
      <c r="I15" s="35">
        <f>IFERROR('Historical FS'!I34,0)</f>
        <v>-4.9052154538339235E-2</v>
      </c>
      <c r="J15" s="35">
        <f>IFERROR('Historical FS'!J34,0)</f>
        <v>-1.1486934720964945E-2</v>
      </c>
      <c r="K15" s="35">
        <f>IFERROR('Historical FS'!K34,0)</f>
        <v>6.220968812209688E-2</v>
      </c>
      <c r="L15" s="35">
        <f>IFERROR('Historical FS'!L34,0)</f>
        <v>3.9338632461137835E-2</v>
      </c>
      <c r="M15" s="33"/>
      <c r="N15" s="53">
        <f t="shared" si="3"/>
        <v>5.2541758453480336E-3</v>
      </c>
      <c r="O15" s="53">
        <f t="shared" si="2"/>
        <v>-7.4434056747998256E-3</v>
      </c>
    </row>
    <row r="16" spans="2:15" x14ac:dyDescent="0.45">
      <c r="N16" s="50"/>
    </row>
    <row r="17" spans="2:15" x14ac:dyDescent="0.45">
      <c r="B17" s="37" t="s">
        <v>132</v>
      </c>
      <c r="C17" s="38">
        <f>IFERROR('Historical FS'!C16,0)</f>
        <v>0.10672678849247161</v>
      </c>
      <c r="D17" s="38">
        <f>IFERROR('Historical FS'!D16,0)</f>
        <v>0.12847809529452636</v>
      </c>
      <c r="E17" s="38">
        <f>IFERROR('Historical FS'!E16,0)</f>
        <v>0.10860201636437025</v>
      </c>
      <c r="F17" s="38">
        <f>IFERROR('Historical FS'!F16,0)</f>
        <v>0.11402504616835751</v>
      </c>
      <c r="G17" s="38">
        <f>IFERROR('Historical FS'!G16,0)</f>
        <v>0.12527323822987554</v>
      </c>
      <c r="H17" s="38">
        <f>IFERROR('Historical FS'!H16,0)</f>
        <v>8.8798023177028354E-2</v>
      </c>
      <c r="I17" s="38">
        <f>IFERROR('Historical FS'!I16,0)</f>
        <v>0.10929475436519734</v>
      </c>
      <c r="J17" s="38">
        <f>IFERROR('Historical FS'!J16,0)</f>
        <v>0.11488822184383672</v>
      </c>
      <c r="K17" s="38">
        <f>IFERROR('Historical FS'!K16,0)</f>
        <v>9.6372023151220232E-2</v>
      </c>
      <c r="L17" s="38">
        <f>IFERROR('Historical FS'!L16,0)</f>
        <v>9.722193793424988E-2</v>
      </c>
      <c r="M17" s="37"/>
      <c r="N17" s="48">
        <f t="shared" si="3"/>
        <v>0.10896801450211338</v>
      </c>
      <c r="O17" s="48">
        <f t="shared" ref="O17:O19" si="4">IFERROR(MEDIAN(D17:L17),0)</f>
        <v>0.10929475436519734</v>
      </c>
    </row>
    <row r="18" spans="2:15" x14ac:dyDescent="0.45">
      <c r="B18" t="s">
        <v>133</v>
      </c>
      <c r="C18" s="39">
        <f>IFERROR('Historical FS'!C25,0)</f>
        <v>6.1201425695927715E-2</v>
      </c>
      <c r="D18" s="39">
        <f>IFERROR('Historical FS'!D25,0)</f>
        <v>6.63903865924938E-2</v>
      </c>
      <c r="E18" s="39">
        <f>IFERROR('Historical FS'!E25,0)</f>
        <v>7.3927472182518786E-2</v>
      </c>
      <c r="F18" s="39">
        <f>IFERROR('Historical FS'!F25,0)</f>
        <v>7.8130605447998658E-2</v>
      </c>
      <c r="G18" s="39">
        <f>IFERROR('Historical FS'!G25,0)</f>
        <v>8.206839774331566E-2</v>
      </c>
      <c r="H18" s="39">
        <f>IFERROR('Historical FS'!H25,0)</f>
        <v>9.4264230933596482E-2</v>
      </c>
      <c r="I18" s="39">
        <f>IFERROR('Historical FS'!I25,0)</f>
        <v>8.9191478279219347E-2</v>
      </c>
      <c r="J18" s="39">
        <f>IFERROR('Historical FS'!J25,0)</f>
        <v>7.1857611147098821E-2</v>
      </c>
      <c r="K18" s="39">
        <f>IFERROR('Historical FS'!K25,0)</f>
        <v>6.2760359065103591E-2</v>
      </c>
      <c r="L18" s="39">
        <f>IFERROR('Historical FS'!L25,0)</f>
        <v>5.2891208678743216E-2</v>
      </c>
      <c r="N18" s="50">
        <f t="shared" si="3"/>
        <v>7.3268317576601599E-2</v>
      </c>
      <c r="O18" s="50">
        <f t="shared" si="4"/>
        <v>7.3927472182518786E-2</v>
      </c>
    </row>
    <row r="19" spans="2:15" x14ac:dyDescent="0.45">
      <c r="B19" s="33" t="s">
        <v>134</v>
      </c>
      <c r="C19" s="46">
        <f>C13</f>
        <v>7.941702777851016E-2</v>
      </c>
      <c r="D19" s="46">
        <f t="shared" ref="D19:L19" si="5">D13</f>
        <v>4.3322300645279484E-2</v>
      </c>
      <c r="E19" s="46">
        <f t="shared" si="5"/>
        <v>3.3970412259310953E-2</v>
      </c>
      <c r="F19" s="46">
        <f t="shared" si="5"/>
        <v>3.5560233478087663E-3</v>
      </c>
      <c r="G19" s="46">
        <f t="shared" si="5"/>
        <v>-1.3170363258273456E-2</v>
      </c>
      <c r="H19" s="46">
        <f t="shared" si="5"/>
        <v>3.4991608110258483E-2</v>
      </c>
      <c r="I19" s="46">
        <f t="shared" si="5"/>
        <v>-4.1514992694289269E-4</v>
      </c>
      <c r="J19" s="46">
        <f t="shared" si="5"/>
        <v>2.0104346955433228E-2</v>
      </c>
      <c r="K19" s="46">
        <f t="shared" si="5"/>
        <v>7.0435191329351915E-2</v>
      </c>
      <c r="L19" s="46">
        <f t="shared" si="5"/>
        <v>7.478365685304586E-2</v>
      </c>
      <c r="M19" s="33"/>
      <c r="N19" s="53">
        <f t="shared" si="3"/>
        <v>3.4699505409378252E-2</v>
      </c>
      <c r="O19" s="53">
        <f t="shared" si="4"/>
        <v>3.3970412259310953E-2</v>
      </c>
    </row>
    <row r="20" spans="2:15" x14ac:dyDescent="0.45">
      <c r="N20" s="50"/>
    </row>
    <row r="21" spans="2:15" x14ac:dyDescent="0.45">
      <c r="B21" s="37" t="s">
        <v>135</v>
      </c>
      <c r="C21" s="44">
        <f>IFERROR(('Historical FS'!C18-'Historical FS'!C24)/(SUM('Historical FS'!C47:C49)),0)</f>
        <v>0.1462081011853561</v>
      </c>
      <c r="D21" s="44">
        <f>IFERROR(('Historical FS'!D18-'Historical FS'!D24)/(SUM('Historical FS'!D47:D49)),0)</f>
        <v>8.5490986154773282E-2</v>
      </c>
      <c r="E21" s="44">
        <f>IFERROR(('Historical FS'!E18-'Historical FS'!E24)/(SUM('Historical FS'!E47:E49)),0)</f>
        <v>5.3716113570365424E-2</v>
      </c>
      <c r="F21" s="44">
        <f>IFERROR(('Historical FS'!F18-'Historical FS'!F24)/(SUM('Historical FS'!F47:F49)),0)</f>
        <v>6.4542733637543747E-3</v>
      </c>
      <c r="G21" s="44">
        <f>IFERROR(('Historical FS'!G18-'Historical FS'!G24)/(SUM('Historical FS'!G47:G49)),0)</f>
        <v>-1.8302177555437667E-2</v>
      </c>
      <c r="H21" s="44">
        <f>IFERROR(('Historical FS'!H18-'Historical FS'!H24)/(SUM('Historical FS'!H47:H49)),0)</f>
        <v>4.4284324706251613E-2</v>
      </c>
      <c r="I21" s="44">
        <f>IFERROR(('Historical FS'!I18-'Historical FS'!I24)/(SUM('Historical FS'!I47:I49)),0)</f>
        <v>-6.0520306054739361E-4</v>
      </c>
      <c r="J21" s="44">
        <f>IFERROR(('Historical FS'!J18-'Historical FS'!J24)/(SUM('Historical FS'!J47:J49)),0)</f>
        <v>3.8762956416083731E-2</v>
      </c>
      <c r="K21" s="44">
        <f>IFERROR(('Historical FS'!K18-'Historical FS'!K24)/(SUM('Historical FS'!K47:K49)),0)</f>
        <v>0.15906796682311558</v>
      </c>
      <c r="L21" s="44">
        <f>IFERROR(('Historical FS'!L18-'Historical FS'!L24)/(SUM('Historical FS'!L47:L49)),0)</f>
        <v>0.17519873830481023</v>
      </c>
      <c r="M21" s="37"/>
      <c r="N21" s="48">
        <f t="shared" si="3"/>
        <v>6.902760799085253E-2</v>
      </c>
      <c r="O21" s="48">
        <f t="shared" ref="O21:O25" si="6">IFERROR(MEDIAN(D21:L21),0)</f>
        <v>4.4284324706251613E-2</v>
      </c>
    </row>
    <row r="22" spans="2:15" x14ac:dyDescent="0.45">
      <c r="B22" t="s">
        <v>138</v>
      </c>
      <c r="C22" s="45">
        <f>IFERROR('Historical FS'!C44,0)</f>
        <v>0.99506765991253665</v>
      </c>
      <c r="D22" s="45">
        <f>IFERROR('Historical FS'!D44,0)</f>
        <v>1</v>
      </c>
      <c r="E22" s="45">
        <f>IFERROR('Historical FS'!E44,0)</f>
        <v>1</v>
      </c>
      <c r="F22" s="45">
        <f>IFERROR('Historical FS'!F44,0)</f>
        <v>0</v>
      </c>
      <c r="G22" s="45">
        <f>IFERROR('Historical FS'!G44,0)</f>
        <v>0</v>
      </c>
      <c r="H22" s="45">
        <f>IFERROR('Historical FS'!H44,0)</f>
        <v>0</v>
      </c>
      <c r="I22" s="45">
        <f>IFERROR('Historical FS'!I44,0)</f>
        <v>0</v>
      </c>
      <c r="J22" s="45">
        <f>IFERROR('Historical FS'!J44,0)</f>
        <v>0</v>
      </c>
      <c r="K22" s="45">
        <f>IFERROR('Historical FS'!K44,0)</f>
        <v>0.9147777777777778</v>
      </c>
      <c r="L22" s="45">
        <f>IFERROR('Historical FS'!L44,0)</f>
        <v>0.87234780597791528</v>
      </c>
      <c r="N22" s="50">
        <f t="shared" si="3"/>
        <v>0.47821932436682302</v>
      </c>
      <c r="O22" s="50">
        <f t="shared" si="6"/>
        <v>0</v>
      </c>
    </row>
    <row r="23" spans="2:15" x14ac:dyDescent="0.45">
      <c r="B23" t="s">
        <v>139</v>
      </c>
      <c r="C23" s="45">
        <f>IFERROR('Historical FS'!C33/(SUM('Historical FS'!C47:C48)),0)</f>
        <v>0.17441316864171685</v>
      </c>
      <c r="D23" s="45">
        <f>IFERROR('Historical FS'!D33/(SUM('Historical FS'!D47:D48)),0)</f>
        <v>7.2241189530689517E-2</v>
      </c>
      <c r="E23" s="45">
        <f>IFERROR('Historical FS'!E33/(SUM('Historical FS'!E47:E48)),0)</f>
        <v>9.2254980749341738E-3</v>
      </c>
      <c r="F23" s="45">
        <f>IFERROR('Historical FS'!F33/(SUM('Historical FS'!F47:F48)),0)</f>
        <v>-3.7345736658758885E-2</v>
      </c>
      <c r="G23" s="45">
        <f>IFERROR('Historical FS'!G33/(SUM('Historical FS'!G47:G48)),0)</f>
        <v>-0.17560555073176307</v>
      </c>
      <c r="H23" s="45">
        <f>IFERROR('Historical FS'!H33/(SUM('Historical FS'!H47:H48)),0)</f>
        <v>-3.4360591904822733E-2</v>
      </c>
      <c r="I23" s="45">
        <f>IFERROR('Historical FS'!I33/(SUM('Historical FS'!I47:I48)),0)</f>
        <v>-0.30651638060341208</v>
      </c>
      <c r="J23" s="45">
        <f>IFERROR('Historical FS'!J33/(SUM('Historical FS'!J47:J48)),0)</f>
        <v>-8.7686298356707396E-2</v>
      </c>
      <c r="K23" s="45">
        <f>IFERROR('Historical FS'!K33/(SUM('Historical FS'!K47:K48)),0)</f>
        <v>0.31795379071574931</v>
      </c>
      <c r="L23" s="45">
        <f>IFERROR('Historical FS'!L33/(SUM('Historical FS'!L47:L48)),0)</f>
        <v>0.14892719382835101</v>
      </c>
      <c r="N23" s="50">
        <f t="shared" si="3"/>
        <v>8.1246282535976707E-3</v>
      </c>
      <c r="O23" s="50">
        <f t="shared" si="6"/>
        <v>-3.4360591904822733E-2</v>
      </c>
    </row>
    <row r="24" spans="2:15" x14ac:dyDescent="0.45">
      <c r="B24" t="s">
        <v>136</v>
      </c>
      <c r="C24" s="45">
        <f>IFERROR(C22*C23,0)</f>
        <v>0.17355290357824379</v>
      </c>
      <c r="D24" s="45">
        <f t="shared" ref="D24:L24" si="7">IFERROR(D22*D23,0)</f>
        <v>7.2241189530689517E-2</v>
      </c>
      <c r="E24" s="45">
        <f t="shared" si="7"/>
        <v>9.2254980749341738E-3</v>
      </c>
      <c r="F24" s="45">
        <f t="shared" si="7"/>
        <v>0</v>
      </c>
      <c r="G24" s="45">
        <f t="shared" si="7"/>
        <v>0</v>
      </c>
      <c r="H24" s="45">
        <f t="shared" si="7"/>
        <v>0</v>
      </c>
      <c r="I24" s="45">
        <f t="shared" si="7"/>
        <v>0</v>
      </c>
      <c r="J24" s="45">
        <f t="shared" si="7"/>
        <v>0</v>
      </c>
      <c r="K24" s="45">
        <f t="shared" si="7"/>
        <v>0.29085706210697376</v>
      </c>
      <c r="L24" s="45">
        <f t="shared" si="7"/>
        <v>0.12991631078660973</v>
      </c>
      <c r="N24" s="50">
        <f t="shared" si="3"/>
        <v>6.7579296407745099E-2</v>
      </c>
      <c r="O24" s="50">
        <f t="shared" si="6"/>
        <v>0</v>
      </c>
    </row>
    <row r="25" spans="2:15" x14ac:dyDescent="0.45">
      <c r="B25" s="33" t="s">
        <v>137</v>
      </c>
      <c r="C25" s="43">
        <f>IFERROR(('Historical FS'!C18-'Historical FS'!C24)/'Historical FS'!C21,0)</f>
        <v>4.4352863933500721</v>
      </c>
      <c r="D25" s="43">
        <f>IFERROR(('Historical FS'!D18-'Historical FS'!D24)/'Historical FS'!D21,0)</f>
        <v>2.7568835373205922</v>
      </c>
      <c r="E25" s="43">
        <f>IFERROR(('Historical FS'!E18-'Historical FS'!E24)/'Historical FS'!E21,0)</f>
        <v>2.1154494328024094</v>
      </c>
      <c r="F25" s="43">
        <f>IFERROR(('Historical FS'!F18-'Historical FS'!F24)/'Historical FS'!F21,0)</f>
        <v>0.18645156808947008</v>
      </c>
      <c r="G25" s="43">
        <f>IFERROR(('Historical FS'!G18-'Historical FS'!G24)/'Historical FS'!G21,0)</f>
        <v>-0.47469326953211261</v>
      </c>
      <c r="H25" s="43">
        <f>IFERROR(('Historical FS'!H18-'Historical FS'!H24)/'Historical FS'!H21,0)</f>
        <v>1.079478385658198</v>
      </c>
      <c r="I25" s="43">
        <f>IFERROR(('Historical FS'!I18-'Historical FS'!I24)/'Historical FS'!I21,0)</f>
        <v>-1.2414275987824557E-2</v>
      </c>
      <c r="J25" s="43">
        <f>IFERROR(('Historical FS'!J18-'Historical FS'!J24)/'Historical FS'!J21,0)</f>
        <v>0.68020669934320532</v>
      </c>
      <c r="K25" s="43">
        <f>IFERROR(('Historical FS'!K18-'Historical FS'!K24)/'Historical FS'!K21,0)</f>
        <v>4.0255464840663686</v>
      </c>
      <c r="L25" s="43">
        <f>IFERROR(('Historical FS'!L18-'Historical FS'!L24)/'Historical FS'!L21,0)</f>
        <v>6.4690143615974822</v>
      </c>
      <c r="M25" s="33"/>
      <c r="N25" s="53">
        <f t="shared" si="3"/>
        <v>2.1261209316707861</v>
      </c>
      <c r="O25" s="53">
        <f t="shared" si="6"/>
        <v>1.079478385658198</v>
      </c>
    </row>
    <row r="26" spans="2:15" x14ac:dyDescent="0.45">
      <c r="N26" s="50"/>
    </row>
    <row r="27" spans="2:15" x14ac:dyDescent="0.45">
      <c r="B27" s="37" t="s">
        <v>140</v>
      </c>
      <c r="C27" s="41">
        <f>IFERROR(('Historical FS'!C6/'Historical FS'!C59),0)</f>
        <v>20.119918266350599</v>
      </c>
      <c r="D27" s="41">
        <f>IFERROR(('Historical FS'!D6/'Historical FS'!D59),0)</f>
        <v>19.160353236640844</v>
      </c>
      <c r="E27" s="41">
        <f>IFERROR(('Historical FS'!E6/'Historical FS'!E59),0)</f>
        <v>14.655712224718874</v>
      </c>
      <c r="F27" s="41">
        <f>IFERROR(('Historical FS'!F6/'Historical FS'!F59),0)</f>
        <v>15.894698773489607</v>
      </c>
      <c r="G27" s="41">
        <f>IFERROR(('Historical FS'!G6/'Historical FS'!G59),0)</f>
        <v>23.366617170976728</v>
      </c>
      <c r="H27" s="41">
        <f>IFERROR(('Historical FS'!H6/'Historical FS'!H59),0)</f>
        <v>19.701330853658153</v>
      </c>
      <c r="I27" s="41">
        <f>IFERROR(('Historical FS'!I6/'Historical FS'!I59),0)</f>
        <v>22.379917570317598</v>
      </c>
      <c r="J27" s="41">
        <f>IFERROR(('Historical FS'!J6/'Historical FS'!J59),0)</f>
        <v>21.982947610142858</v>
      </c>
      <c r="K27" s="41">
        <f>IFERROR(('Historical FS'!K6/'Historical FS'!K59),0)</f>
        <v>25.602642756016991</v>
      </c>
      <c r="L27" s="41">
        <f>IFERROR(('Historical FS'!L6/'Historical FS'!L59),0)</f>
        <v>33.189538043478258</v>
      </c>
      <c r="M27" s="37"/>
      <c r="N27" s="48">
        <f t="shared" si="3"/>
        <v>21.605367650579048</v>
      </c>
      <c r="O27" s="41">
        <f t="shared" ref="O27:O31" si="8">IFERROR(MEDIAN(D27:L27),0)</f>
        <v>21.982947610142858</v>
      </c>
    </row>
    <row r="28" spans="2:15" x14ac:dyDescent="0.45">
      <c r="B28" t="s">
        <v>141</v>
      </c>
      <c r="C28" s="42">
        <f>IFERROR('Historical FS'!C6/'Historical FS'!C50,0)</f>
        <v>2.3769603927858673</v>
      </c>
      <c r="D28" s="42">
        <f>IFERROR('Historical FS'!D6/'Historical FS'!D50,0)</f>
        <v>1.9842807783040648</v>
      </c>
      <c r="E28" s="42">
        <f>IFERROR('Historical FS'!E6/'Historical FS'!E50,0)</f>
        <v>2.0414780318629697</v>
      </c>
      <c r="F28" s="42">
        <f>IFERROR('Historical FS'!F6/'Historical FS'!F50,0)</f>
        <v>2.1667847518227492</v>
      </c>
      <c r="G28" s="42">
        <f>IFERROR('Historical FS'!G6/'Historical FS'!G50,0)</f>
        <v>1.9731057108276859</v>
      </c>
      <c r="H28" s="42">
        <f>IFERROR('Historical FS'!H6/'Historical FS'!H50,0)</f>
        <v>1.7323684804395676</v>
      </c>
      <c r="I28" s="42">
        <f>IFERROR('Historical FS'!I6/'Historical FS'!I50,0)</f>
        <v>2.0170312149360217</v>
      </c>
      <c r="J28" s="42">
        <f>IFERROR('Historical FS'!J6/'Historical FS'!J50,0)</f>
        <v>2.2286057258733614</v>
      </c>
      <c r="K28" s="42">
        <f>IFERROR('Historical FS'!K6/'Historical FS'!K50,0)</f>
        <v>2.4473804408505742</v>
      </c>
      <c r="L28" s="42">
        <f>IFERROR('Historical FS'!L6/'Historical FS'!L50,0)</f>
        <v>2.3228766594994954</v>
      </c>
      <c r="N28" s="50">
        <f t="shared" si="3"/>
        <v>2.1290872187202359</v>
      </c>
      <c r="O28" s="42">
        <f t="shared" si="8"/>
        <v>2.0414780318629697</v>
      </c>
    </row>
    <row r="29" spans="2:15" x14ac:dyDescent="0.45">
      <c r="B29" t="s">
        <v>142</v>
      </c>
      <c r="C29" s="42">
        <f>IFERROR('Historical FS'!C6/'Historical FS'!C60,0)</f>
        <v>8.3613381173839922</v>
      </c>
      <c r="D29" s="42">
        <f>IFERROR('Historical FS'!D6/'Historical FS'!D60,0)</f>
        <v>7.6867643466738649</v>
      </c>
      <c r="E29" s="42">
        <f>IFERROR('Historical FS'!E6/'Historical FS'!E60,0)</f>
        <v>6.9190051742350009</v>
      </c>
      <c r="F29" s="42">
        <f>IFERROR('Historical FS'!F6/'Historical FS'!F60,0)</f>
        <v>7.7392856309817084</v>
      </c>
      <c r="G29" s="42">
        <f>IFERROR('Historical FS'!G6/'Historical FS'!G60,0)</f>
        <v>6.9698269049637886</v>
      </c>
      <c r="H29" s="42">
        <f>IFERROR('Historical FS'!H6/'Historical FS'!H60,0)</f>
        <v>6.9217098811563442</v>
      </c>
      <c r="I29" s="42">
        <f>IFERROR('Historical FS'!I6/'Historical FS'!I60,0)</f>
        <v>7.9015588385356104</v>
      </c>
      <c r="J29" s="42">
        <f>IFERROR('Historical FS'!J6/'Historical FS'!J60,0)</f>
        <v>8.4888641723217457</v>
      </c>
      <c r="K29" s="42">
        <f>IFERROR('Historical FS'!K6/'Historical FS'!K60,0)</f>
        <v>9.0821126642671803</v>
      </c>
      <c r="L29" s="42">
        <f>IFERROR('Historical FS'!L6/'Historical FS'!L60,0)</f>
        <v>9.3019738094734397</v>
      </c>
      <c r="N29" s="50">
        <f t="shared" si="3"/>
        <v>7.9372439539992667</v>
      </c>
      <c r="O29" s="42">
        <f t="shared" si="8"/>
        <v>7.7392856309817084</v>
      </c>
    </row>
    <row r="30" spans="2:15" x14ac:dyDescent="0.45">
      <c r="B30" t="s">
        <v>143</v>
      </c>
      <c r="C30" s="42">
        <f>IFERROR('Historical FS'!C6/'Historical FS'!C53,0)</f>
        <v>2.546312771514708</v>
      </c>
      <c r="D30" s="42">
        <f>IFERROR('Historical FS'!D6/'Historical FS'!D53,0)</f>
        <v>2.8109343484246239</v>
      </c>
      <c r="E30" s="42">
        <f>IFERROR('Historical FS'!E6/'Historical FS'!E53,0)</f>
        <v>2.4012948768781421</v>
      </c>
      <c r="F30" s="42">
        <f>IFERROR('Historical FS'!F6/'Historical FS'!F53,0)</f>
        <v>2.7144319562092578</v>
      </c>
      <c r="G30" s="42">
        <f>IFERROR('Historical FS'!G6/'Historical FS'!G53,0)</f>
        <v>2.0539205744067566</v>
      </c>
      <c r="H30" s="42">
        <f>IFERROR('Historical FS'!H6/'Historical FS'!H53,0)</f>
        <v>1.8008727134726064</v>
      </c>
      <c r="I30" s="42">
        <f>IFERROR('Historical FS'!I6/'Historical FS'!I53,0)</f>
        <v>2.0053488717943728</v>
      </c>
      <c r="J30" s="42">
        <f>IFERROR('Historical FS'!J6/'Historical FS'!J53,0)</f>
        <v>2.6193791539294131</v>
      </c>
      <c r="K30" s="42">
        <f>IFERROR('Historical FS'!K6/'Historical FS'!K53,0)</f>
        <v>3.5784804386362699</v>
      </c>
      <c r="L30" s="42">
        <f>IFERROR('Historical FS'!L6/'Historical FS'!L53,0)</f>
        <v>3.8004010475638954</v>
      </c>
      <c r="N30" s="50">
        <f t="shared" si="3"/>
        <v>2.6331376752830042</v>
      </c>
      <c r="O30" s="42">
        <f t="shared" si="8"/>
        <v>2.6193791539294131</v>
      </c>
    </row>
    <row r="31" spans="2:15" x14ac:dyDescent="0.45">
      <c r="B31" s="33" t="s">
        <v>144</v>
      </c>
      <c r="C31" s="43">
        <f>IFERROR('Historical FS'!C6/SUM('Historical FS'!C47:C48),0)</f>
        <v>3.4583567493379874</v>
      </c>
      <c r="D31" s="43">
        <f>IFERROR('Historical FS'!D6/SUM('Historical FS'!D47:D48),0)</f>
        <v>4.6449144180459854</v>
      </c>
      <c r="E31" s="43">
        <f>IFERROR('Historical FS'!E6/SUM('Historical FS'!E47:E48),0)</f>
        <v>3.0551908765475422</v>
      </c>
      <c r="F31" s="43">
        <f>IFERROR('Historical FS'!F6/SUM('Historical FS'!F47:F48),0)</f>
        <v>5.0172915853821474</v>
      </c>
      <c r="G31" s="43">
        <f>IFERROR('Historical FS'!G6/SUM('Historical FS'!G47:G48),0)</f>
        <v>4.1387770133514525</v>
      </c>
      <c r="H31" s="43">
        <f>IFERROR('Historical FS'!H6/SUM('Historical FS'!H47:H48),0)</f>
        <v>4.5214403678625628</v>
      </c>
      <c r="I31" s="43">
        <f>IFERROR('Historical FS'!I6/SUM('Historical FS'!I47:I48),0)</f>
        <v>6.2487852671963351</v>
      </c>
      <c r="J31" s="43">
        <f>IFERROR('Historical FS'!J6/SUM('Historical FS'!J47:J48),0)</f>
        <v>7.6335680916398054</v>
      </c>
      <c r="K31" s="43">
        <f>IFERROR('Historical FS'!K6/SUM('Historical FS'!K47:K48),0)</f>
        <v>5.1110012011587651</v>
      </c>
      <c r="L31" s="43">
        <f>IFERROR('Historical FS'!L6/SUM('Historical FS'!L47:L48),0)</f>
        <v>3.7857745557239291</v>
      </c>
      <c r="M31" s="33"/>
      <c r="N31" s="53">
        <f t="shared" si="3"/>
        <v>4.7615100126246501</v>
      </c>
      <c r="O31" s="43">
        <f t="shared" si="8"/>
        <v>4.6449144180459854</v>
      </c>
    </row>
    <row r="32" spans="2:15" x14ac:dyDescent="0.45">
      <c r="N32" s="50"/>
    </row>
    <row r="33" spans="2:15" x14ac:dyDescent="0.45">
      <c r="B33" s="37" t="s">
        <v>145</v>
      </c>
      <c r="C33" s="34">
        <f>IFERROR(365/C27,0)</f>
        <v>18.141226776772818</v>
      </c>
      <c r="D33" s="34">
        <f t="shared" ref="D33:L33" si="9">IFERROR(365/D27,0)</f>
        <v>19.049753180019717</v>
      </c>
      <c r="E33" s="34">
        <f t="shared" si="9"/>
        <v>24.904964999543136</v>
      </c>
      <c r="F33" s="34">
        <f t="shared" si="9"/>
        <v>22.963631157878556</v>
      </c>
      <c r="G33" s="34">
        <f t="shared" si="9"/>
        <v>15.620575170519771</v>
      </c>
      <c r="H33" s="34">
        <f t="shared" si="9"/>
        <v>18.52666719376608</v>
      </c>
      <c r="I33" s="34">
        <f t="shared" si="9"/>
        <v>16.309264717046954</v>
      </c>
      <c r="J33" s="34">
        <f t="shared" si="9"/>
        <v>16.603778823163378</v>
      </c>
      <c r="K33" s="34">
        <f t="shared" si="9"/>
        <v>14.256340780063407</v>
      </c>
      <c r="L33" s="34">
        <f t="shared" si="9"/>
        <v>10.997441408248902</v>
      </c>
      <c r="M33" s="37"/>
      <c r="N33" s="48">
        <f t="shared" si="3"/>
        <v>17.737364420702271</v>
      </c>
      <c r="O33" s="34">
        <f t="shared" ref="O33:O36" si="10">IFERROR(MEDIAN(D33:L33),0)</f>
        <v>16.603778823163378</v>
      </c>
    </row>
    <row r="34" spans="2:15" x14ac:dyDescent="0.45">
      <c r="B34" t="s">
        <v>146</v>
      </c>
      <c r="C34" s="36">
        <f>IFERROR(365/C28,0)</f>
        <v>153.55745981623585</v>
      </c>
      <c r="D34" s="36">
        <f t="shared" ref="D34:L34" si="11">IFERROR(365/D28,0)</f>
        <v>183.94574194885871</v>
      </c>
      <c r="E34" s="36">
        <f t="shared" si="11"/>
        <v>178.79202925682029</v>
      </c>
      <c r="F34" s="36">
        <f t="shared" si="11"/>
        <v>168.45235766633192</v>
      </c>
      <c r="G34" s="36">
        <f t="shared" si="11"/>
        <v>184.98755439052903</v>
      </c>
      <c r="H34" s="36">
        <f t="shared" si="11"/>
        <v>210.69420514242194</v>
      </c>
      <c r="I34" s="36">
        <f t="shared" si="11"/>
        <v>180.95902398395825</v>
      </c>
      <c r="J34" s="36">
        <f t="shared" si="11"/>
        <v>163.77953074537726</v>
      </c>
      <c r="K34" s="36">
        <f t="shared" si="11"/>
        <v>149.13905247732802</v>
      </c>
      <c r="L34" s="36">
        <f t="shared" si="11"/>
        <v>157.13275111156597</v>
      </c>
      <c r="N34" s="50">
        <f t="shared" si="3"/>
        <v>173.14397065394274</v>
      </c>
      <c r="O34" s="36">
        <f t="shared" si="10"/>
        <v>178.79202925682029</v>
      </c>
    </row>
    <row r="35" spans="2:15" x14ac:dyDescent="0.45">
      <c r="B35" t="s">
        <v>147</v>
      </c>
      <c r="C35" s="36">
        <f>IFERROR(365/C29,0)</f>
        <v>43.653299851746382</v>
      </c>
      <c r="D35" s="36">
        <f t="shared" ref="D35:L35" si="12">IFERROR(365/D29,0)</f>
        <v>47.484218786795374</v>
      </c>
      <c r="E35" s="36">
        <f t="shared" si="12"/>
        <v>52.753248596949661</v>
      </c>
      <c r="F35" s="36">
        <f t="shared" si="12"/>
        <v>47.161975588398164</v>
      </c>
      <c r="G35" s="36">
        <f t="shared" si="12"/>
        <v>52.368588915752468</v>
      </c>
      <c r="H35" s="36">
        <f t="shared" si="12"/>
        <v>52.732634893247351</v>
      </c>
      <c r="I35" s="36">
        <f t="shared" si="12"/>
        <v>46.193416698982041</v>
      </c>
      <c r="J35" s="36">
        <f t="shared" si="12"/>
        <v>42.997507392107408</v>
      </c>
      <c r="K35" s="36">
        <f t="shared" si="12"/>
        <v>40.188887045638872</v>
      </c>
      <c r="L35" s="36">
        <f t="shared" si="12"/>
        <v>39.238983841071651</v>
      </c>
      <c r="N35" s="50">
        <f t="shared" si="3"/>
        <v>46.477276161068936</v>
      </c>
      <c r="O35" s="36">
        <f t="shared" si="10"/>
        <v>47.161975588398164</v>
      </c>
    </row>
    <row r="36" spans="2:15" x14ac:dyDescent="0.45">
      <c r="B36" s="33" t="s">
        <v>148</v>
      </c>
      <c r="C36" s="40">
        <f>IFERROR(SUM(C33,C35)-C34,0)</f>
        <v>-91.762933187716641</v>
      </c>
      <c r="D36" s="40">
        <f t="shared" ref="D36:L36" si="13">IFERROR(SUM(D33,D35)-D34,0)</f>
        <v>-117.41176998204362</v>
      </c>
      <c r="E36" s="40">
        <f t="shared" si="13"/>
        <v>-101.13381566032749</v>
      </c>
      <c r="F36" s="40">
        <f t="shared" si="13"/>
        <v>-98.326750920055204</v>
      </c>
      <c r="G36" s="40">
        <f t="shared" si="13"/>
        <v>-116.99839030425679</v>
      </c>
      <c r="H36" s="40">
        <f t="shared" si="13"/>
        <v>-139.43490305540851</v>
      </c>
      <c r="I36" s="40">
        <f t="shared" si="13"/>
        <v>-118.45634256792925</v>
      </c>
      <c r="J36" s="40">
        <f t="shared" si="13"/>
        <v>-104.17824453010647</v>
      </c>
      <c r="K36" s="40">
        <f t="shared" si="13"/>
        <v>-94.693824651625746</v>
      </c>
      <c r="L36" s="40">
        <f t="shared" si="13"/>
        <v>-106.89632586224542</v>
      </c>
      <c r="M36" s="33"/>
      <c r="N36" s="53">
        <f t="shared" si="3"/>
        <v>-108.92933007217152</v>
      </c>
      <c r="O36" s="40">
        <f t="shared" si="10"/>
        <v>-106.89632586224542</v>
      </c>
    </row>
    <row r="37" spans="2:15" x14ac:dyDescent="0.45">
      <c r="N37" s="50"/>
    </row>
    <row r="38" spans="2:15" x14ac:dyDescent="0.45">
      <c r="B38" s="37" t="s">
        <v>149</v>
      </c>
      <c r="C38" s="38">
        <f>IFERROR('Historical FS'!C78/'Historical FS'!C6,0)</f>
        <v>0.14360971207739662</v>
      </c>
      <c r="D38" s="38">
        <f>IFERROR('Historical FS'!D78/'Historical FS'!D6,0)</f>
        <v>0.12404497255040564</v>
      </c>
      <c r="E38" s="38">
        <f>IFERROR('Historical FS'!E78/'Historical FS'!E6,0)</f>
        <v>5.9759805574664121E-2</v>
      </c>
      <c r="F38" s="38">
        <f>IFERROR('Historical FS'!F78/'Historical FS'!F6,0)</f>
        <v>3.8653579670555313E-2</v>
      </c>
      <c r="G38" s="38">
        <f>IFERROR('Historical FS'!G78/'Historical FS'!G6,0)</f>
        <v>0.12141665635964458</v>
      </c>
      <c r="H38" s="38">
        <f>IFERROR('Historical FS'!H78/'Historical FS'!H6,0)</f>
        <v>0.11572300859005244</v>
      </c>
      <c r="I38" s="38">
        <f>IFERROR('Historical FS'!I78/'Historical FS'!I6,0)</f>
        <v>1.2684338598291522E-2</v>
      </c>
      <c r="J38" s="38">
        <f>IFERROR('Historical FS'!J78/'Historical FS'!J6,0)</f>
        <v>9.3248786148573667E-2</v>
      </c>
      <c r="K38" s="38">
        <f>IFERROR('Historical FS'!K78/'Historical FS'!K6,0)</f>
        <v>0.17335766423357665</v>
      </c>
      <c r="L38" s="38">
        <f>IFERROR('Historical FS'!L78/'Historical FS'!L6,0)</f>
        <v>0.16206233866657568</v>
      </c>
      <c r="M38" s="37"/>
      <c r="N38" s="48">
        <f t="shared" si="3"/>
        <v>0.10445608624697363</v>
      </c>
      <c r="O38" s="48">
        <f t="shared" ref="O38:O40" si="14">IFERROR(MEDIAN(D38:L38),0)</f>
        <v>0.11572300859005244</v>
      </c>
    </row>
    <row r="39" spans="2:15" x14ac:dyDescent="0.45">
      <c r="B39" t="s">
        <v>150</v>
      </c>
      <c r="C39" s="39">
        <f>IFERROR('Historical FS'!C78/'Historical FS'!C64,0)</f>
        <v>0.14899075217760099</v>
      </c>
      <c r="D39" s="39">
        <f>IFERROR('Historical FS'!D78/'Historical FS'!D64,0)</f>
        <v>0.12273077928285075</v>
      </c>
      <c r="E39" s="39">
        <f>IFERROR('Historical FS'!E78/'Historical FS'!E64,0)</f>
        <v>5.3250110386320486E-2</v>
      </c>
      <c r="F39" s="39">
        <f>IFERROR('Historical FS'!F78/'Historical FS'!F64,0)</f>
        <v>3.8177516390146542E-2</v>
      </c>
      <c r="G39" s="39">
        <f>IFERROR('Historical FS'!G78/'Historical FS'!G64,0)</f>
        <v>9.9000750797857404E-2</v>
      </c>
      <c r="H39" s="39">
        <f>IFERROR('Historical FS'!H78/'Historical FS'!H64,0)</f>
        <v>8.4629819997903213E-2</v>
      </c>
      <c r="I39" s="39">
        <f>IFERROR('Historical FS'!I78/'Historical FS'!I64,0)</f>
        <v>1.073355621163692E-2</v>
      </c>
      <c r="J39" s="39">
        <f>IFERROR('Historical FS'!J78/'Historical FS'!J64,0)</f>
        <v>9.639517425935408E-2</v>
      </c>
      <c r="K39" s="39">
        <f>IFERROR('Historical FS'!K78/'Historical FS'!K64,0)</f>
        <v>0.20361495016521389</v>
      </c>
      <c r="L39" s="39">
        <f>IFERROR('Historical FS'!L78/'Historical FS'!L64,0)</f>
        <v>0.18902680032787494</v>
      </c>
      <c r="N39" s="50">
        <f t="shared" si="3"/>
        <v>0.10465502099967594</v>
      </c>
      <c r="O39" s="50">
        <f t="shared" si="14"/>
        <v>9.639517425935408E-2</v>
      </c>
    </row>
    <row r="40" spans="2:15" x14ac:dyDescent="0.45">
      <c r="B40" s="33" t="s">
        <v>151</v>
      </c>
      <c r="C40" s="35">
        <f>IFERROR('Historical FS'!C78/'Historical FS'!C49,0)</f>
        <v>0.56534057978118779</v>
      </c>
      <c r="D40" s="35">
        <f>IFERROR('Historical FS'!D78/'Historical FS'!D49,0)</f>
        <v>0.42560185883717339</v>
      </c>
      <c r="E40" s="35">
        <f>IFERROR('Historical FS'!E78/'Historical FS'!E49,0)</f>
        <v>0.19587305159826587</v>
      </c>
      <c r="F40" s="35">
        <f>IFERROR('Historical FS'!F78/'Historical FS'!F49,0)</f>
        <v>0.1099219460940742</v>
      </c>
      <c r="G40" s="35">
        <f>IFERROR('Historical FS'!G78/'Historical FS'!G49,0)</f>
        <v>0.25401554192386361</v>
      </c>
      <c r="H40" s="35">
        <f>IFERROR('Historical FS'!H78/'Historical FS'!H49,0)</f>
        <v>0.20338341005738594</v>
      </c>
      <c r="I40" s="35">
        <f>IFERROR('Historical FS'!I78/'Historical FS'!I49,0)</f>
        <v>2.4117605968438302E-2</v>
      </c>
      <c r="J40" s="35">
        <f>IFERROR('Historical FS'!J78/'Historical FS'!J49,0)</f>
        <v>0.24055008953614193</v>
      </c>
      <c r="K40" s="35">
        <f>IFERROR('Historical FS'!K78/'Historical FS'!K49,0)</f>
        <v>0.70144689737470167</v>
      </c>
      <c r="L40" s="35">
        <f>IFERROR('Historical FS'!L78/'Historical FS'!L49,0)</f>
        <v>0.99605814928711212</v>
      </c>
      <c r="M40" s="33"/>
      <c r="N40" s="53">
        <f t="shared" si="3"/>
        <v>0.37163091304583445</v>
      </c>
      <c r="O40" s="53">
        <f t="shared" si="14"/>
        <v>0.24055008953614193</v>
      </c>
    </row>
  </sheetData>
  <mergeCells count="1">
    <mergeCell ref="B2:O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21314DA7-85BB-479D-9FB0-ADDCAB5066A7}">
          <x14:colorSeries theme="4" tint="-0.249977111117893"/>
          <x14:colorNegative rgb="FFFF0000"/>
          <x14:colorAxis rgb="FF000000"/>
          <x14:colorMarkers rgb="FF002060"/>
          <x14:colorFirst rgb="FF000000"/>
          <x14:colorLast rgb="FF000000"/>
          <x14:colorHigh rgb="FF000000"/>
          <x14:colorLow rgb="FF000000"/>
          <x14:sparklines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  <x14:sparkline>
              <xm:f>'Ratio Analysis'!C16:L16</xm:f>
              <xm:sqref>M16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Analysis'!C26:L26</xm:f>
              <xm:sqref>M26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</x14:sparklines>
        </x14:sparklineGroup>
        <x14:sparklineGroup displayEmptyCellsAs="gap" markers="1" xr2:uid="{9853C22E-8A43-4AE3-ACF4-185C0EB1E44D}">
          <x14:colorSeries theme="4" tint="-0.249977111117893"/>
          <x14:colorNegative rgb="FFFF0000"/>
          <x14:colorAxis rgb="FF000000"/>
          <x14:colorMarkers rgb="FF002060"/>
          <x14:colorFirst rgb="FF000000"/>
          <x14:colorLast rgb="FF000000"/>
          <x14:colorHigh rgb="FF000000"/>
          <x14:colorLow rgb="FF000000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A0D20-C364-4475-8AA9-8E394C407DA0}">
  <dimension ref="A2:O31"/>
  <sheetViews>
    <sheetView showGridLines="0" topLeftCell="B1" workbookViewId="0">
      <selection activeCell="G21" sqref="G21"/>
    </sheetView>
  </sheetViews>
  <sheetFormatPr defaultRowHeight="14.25" x14ac:dyDescent="0.45"/>
  <cols>
    <col min="1" max="1" width="1.73046875" customWidth="1"/>
    <col min="2" max="5" width="12.59765625" customWidth="1"/>
    <col min="6" max="6" width="2.59765625" customWidth="1"/>
    <col min="7" max="9" width="12.59765625" customWidth="1"/>
    <col min="10" max="10" width="13.265625" bestFit="1" customWidth="1"/>
    <col min="11" max="11" width="2.59765625" customWidth="1"/>
    <col min="12" max="12" width="15.53125" customWidth="1"/>
    <col min="13" max="13" width="12.59765625" customWidth="1"/>
    <col min="14" max="14" width="16.3984375" bestFit="1" customWidth="1"/>
    <col min="15" max="15" width="10.19921875" bestFit="1" customWidth="1"/>
    <col min="16" max="20" width="11.59765625" customWidth="1"/>
    <col min="21" max="25" width="10.59765625" customWidth="1"/>
  </cols>
  <sheetData>
    <row r="2" spans="1:15" x14ac:dyDescent="0.45">
      <c r="B2" s="60" t="str">
        <f>'Data Sheet'!B1&amp;" - "&amp;'Data Sheet'!A17</f>
        <v>TATA MOTORS PASSENGER VEHICLES LTD - Sales</v>
      </c>
      <c r="C2" s="60"/>
      <c r="D2" s="60"/>
      <c r="E2" s="60"/>
      <c r="G2" s="60" t="str">
        <f>'Data Sheet'!B1&amp;" - "&amp;'Historical FS'!B18</f>
        <v>TATA MOTORS PASSENGER VEHICLES LTD - EBITDA</v>
      </c>
      <c r="H2" s="60"/>
      <c r="I2" s="60"/>
      <c r="J2" s="60"/>
      <c r="L2" s="60" t="str">
        <f>'Data Sheet'!B1&amp;" - "&amp;'Historical FS'!B38</f>
        <v>TATA MOTORS PASSENGER VEHICLES LTD - Earning Per Share EPS</v>
      </c>
      <c r="M2" s="60"/>
      <c r="N2" s="60"/>
      <c r="O2" s="60"/>
    </row>
    <row r="3" spans="1:15" x14ac:dyDescent="0.45">
      <c r="B3" s="58" t="s">
        <v>156</v>
      </c>
      <c r="C3" s="56" t="s">
        <v>155</v>
      </c>
      <c r="D3" s="56" t="s">
        <v>12</v>
      </c>
      <c r="E3" s="56" t="s">
        <v>58</v>
      </c>
      <c r="F3" s="9"/>
      <c r="G3" s="58" t="s">
        <v>156</v>
      </c>
      <c r="H3" s="56" t="s">
        <v>155</v>
      </c>
      <c r="I3" s="56" t="s">
        <v>65</v>
      </c>
      <c r="J3" s="56" t="s">
        <v>125</v>
      </c>
      <c r="K3" s="63"/>
      <c r="L3" s="58" t="s">
        <v>156</v>
      </c>
      <c r="M3" s="56" t="s">
        <v>155</v>
      </c>
      <c r="N3" s="56" t="s">
        <v>157</v>
      </c>
      <c r="O3" s="56" t="s">
        <v>158</v>
      </c>
    </row>
    <row r="4" spans="1:15" x14ac:dyDescent="0.45">
      <c r="B4" s="76">
        <v>1</v>
      </c>
      <c r="C4" s="77">
        <v>2016</v>
      </c>
      <c r="D4" s="68">
        <f t="array" ref="D4:D13">TRANSPOSE('Data Sheet'!B17:K17)</f>
        <v>273045.59999999998</v>
      </c>
      <c r="G4" s="59">
        <v>1</v>
      </c>
      <c r="H4" s="66">
        <f>C4</f>
        <v>2016</v>
      </c>
      <c r="I4" s="68">
        <f t="array" ref="I4:I13">TRANSPOSE('Historical FS'!C18:L18)</f>
        <v>38395.249999999971</v>
      </c>
      <c r="J4" s="63"/>
      <c r="K4" s="63"/>
      <c r="L4" s="59">
        <v>1</v>
      </c>
      <c r="M4" s="66">
        <v>2016</v>
      </c>
      <c r="N4" s="68">
        <f t="array" ref="N4:N13">TRANSPOSE('Historical FS'!C38:L38)</f>
        <v>47.694444444444336</v>
      </c>
      <c r="O4" s="63"/>
    </row>
    <row r="5" spans="1:15" x14ac:dyDescent="0.45">
      <c r="B5" s="76">
        <f>B4+1</f>
        <v>2</v>
      </c>
      <c r="C5" s="77">
        <f>C4+1</f>
        <v>2017</v>
      </c>
      <c r="D5" s="68">
        <v>269692.51</v>
      </c>
      <c r="E5" s="13">
        <f>IFERROR(D5/D4-1,0)</f>
        <v>-1.2280329732469508E-2</v>
      </c>
      <c r="G5" s="59">
        <f>G4+1</f>
        <v>2</v>
      </c>
      <c r="H5" s="66">
        <f>H4+1</f>
        <v>2017</v>
      </c>
      <c r="I5" s="68">
        <v>29588.690000000046</v>
      </c>
      <c r="J5" s="50">
        <f>IFERROR(I5/I4-1,0)</f>
        <v>-0.22936587208052905</v>
      </c>
      <c r="K5" s="63"/>
      <c r="L5" s="59">
        <f>L4+1</f>
        <v>2</v>
      </c>
      <c r="M5" s="66">
        <f>M4+1</f>
        <v>2017</v>
      </c>
      <c r="N5" s="68">
        <v>14.527274616423808</v>
      </c>
      <c r="O5" s="50">
        <f>IFERROR(N5/N4-1,0)</f>
        <v>-0.69540950134463697</v>
      </c>
    </row>
    <row r="6" spans="1:15" x14ac:dyDescent="0.45">
      <c r="B6" s="76">
        <f t="shared" ref="B6:B20" si="0">B5+1</f>
        <v>3</v>
      </c>
      <c r="C6" s="77">
        <f t="shared" ref="C6:C20" si="1">C5+1</f>
        <v>2018</v>
      </c>
      <c r="D6" s="68">
        <v>291550.48</v>
      </c>
      <c r="E6" s="13">
        <f t="shared" ref="E6:E20" si="2">IFERROR(D6/D5-1,0)</f>
        <v>8.104774581985974E-2</v>
      </c>
      <c r="G6" s="59">
        <f t="shared" ref="G6:H18" si="3">G5+1</f>
        <v>3</v>
      </c>
      <c r="H6" s="66">
        <f t="shared" si="3"/>
        <v>2018</v>
      </c>
      <c r="I6" s="68">
        <v>31457.679999999993</v>
      </c>
      <c r="J6" s="50">
        <f t="shared" ref="J6:J18" si="4">IFERROR(I6/I5-1,0)</f>
        <v>6.3165689322506102E-2</v>
      </c>
      <c r="K6" s="63"/>
      <c r="L6" s="59">
        <f t="shared" ref="L6:M6" si="5">L5+1</f>
        <v>3</v>
      </c>
      <c r="M6" s="66">
        <f t="shared" si="5"/>
        <v>2018</v>
      </c>
      <c r="N6" s="68">
        <v>3.049111626779315</v>
      </c>
      <c r="O6" s="50">
        <f t="shared" ref="O6:O18" si="6">IFERROR(N6/N5-1,0)</f>
        <v>-0.79011124197155724</v>
      </c>
    </row>
    <row r="7" spans="1:15" x14ac:dyDescent="0.45">
      <c r="B7" s="76">
        <f t="shared" si="0"/>
        <v>4</v>
      </c>
      <c r="C7" s="77">
        <f t="shared" si="1"/>
        <v>2019</v>
      </c>
      <c r="D7" s="68">
        <v>301938.40000000002</v>
      </c>
      <c r="E7" s="13">
        <f t="shared" si="2"/>
        <v>3.5629919045237157E-2</v>
      </c>
      <c r="G7" s="59">
        <f t="shared" si="3"/>
        <v>4</v>
      </c>
      <c r="H7" s="66">
        <f t="shared" si="3"/>
        <v>2019</v>
      </c>
      <c r="I7" s="68">
        <v>24664.330000000024</v>
      </c>
      <c r="J7" s="50">
        <f t="shared" si="4"/>
        <v>-0.21595203460649259</v>
      </c>
      <c r="K7" s="63"/>
      <c r="L7" s="59">
        <f t="shared" ref="L7:M7" si="7">L6+1</f>
        <v>4</v>
      </c>
      <c r="M7" s="66">
        <f t="shared" si="7"/>
        <v>2019</v>
      </c>
      <c r="N7" s="68">
        <v>-7.7839157690575265</v>
      </c>
      <c r="O7" s="50">
        <f t="shared" si="6"/>
        <v>-3.5528470983790919</v>
      </c>
    </row>
    <row r="8" spans="1:15" x14ac:dyDescent="0.45">
      <c r="B8" s="76">
        <f t="shared" si="0"/>
        <v>5</v>
      </c>
      <c r="C8" s="77">
        <f t="shared" si="1"/>
        <v>2020</v>
      </c>
      <c r="D8" s="68">
        <v>261067.97</v>
      </c>
      <c r="E8" s="13">
        <f t="shared" si="2"/>
        <v>-0.135360159555724</v>
      </c>
      <c r="G8" s="59">
        <f t="shared" si="3"/>
        <v>5</v>
      </c>
      <c r="H8" s="66">
        <f t="shared" si="3"/>
        <v>2020</v>
      </c>
      <c r="I8" s="68">
        <v>17987.069999999963</v>
      </c>
      <c r="J8" s="50">
        <f t="shared" si="4"/>
        <v>-0.27072537547138131</v>
      </c>
      <c r="K8" s="63"/>
      <c r="L8" s="59">
        <f t="shared" ref="L8:M8" si="8">L7+1</f>
        <v>5</v>
      </c>
      <c r="M8" s="66">
        <f t="shared" si="8"/>
        <v>2020</v>
      </c>
      <c r="N8" s="68">
        <v>-35.859307219164904</v>
      </c>
      <c r="O8" s="50">
        <f t="shared" si="6"/>
        <v>3.6068467700681115</v>
      </c>
    </row>
    <row r="9" spans="1:15" x14ac:dyDescent="0.45">
      <c r="B9" s="76">
        <f t="shared" si="0"/>
        <v>6</v>
      </c>
      <c r="C9" s="77">
        <f t="shared" si="1"/>
        <v>2021</v>
      </c>
      <c r="D9" s="68">
        <v>249794.75</v>
      </c>
      <c r="E9" s="13">
        <f t="shared" si="2"/>
        <v>-4.3181168490336042E-2</v>
      </c>
      <c r="G9" s="59">
        <f t="shared" si="3"/>
        <v>6</v>
      </c>
      <c r="H9" s="66">
        <f t="shared" si="3"/>
        <v>2021</v>
      </c>
      <c r="I9" s="68">
        <v>32287.429999999989</v>
      </c>
      <c r="J9" s="50">
        <f t="shared" si="4"/>
        <v>0.79503554497758966</v>
      </c>
      <c r="K9" s="63"/>
      <c r="L9" s="59">
        <f t="shared" ref="L9:M9" si="9">L8+1</f>
        <v>6</v>
      </c>
      <c r="M9" s="66">
        <f t="shared" si="9"/>
        <v>2021</v>
      </c>
      <c r="N9" s="68">
        <v>-5.7172845827184542</v>
      </c>
      <c r="O9" s="50">
        <f t="shared" si="6"/>
        <v>-0.84056344011958861</v>
      </c>
    </row>
    <row r="10" spans="1:15" x14ac:dyDescent="0.45">
      <c r="B10" s="76">
        <f t="shared" si="0"/>
        <v>7</v>
      </c>
      <c r="C10" s="77">
        <f t="shared" si="1"/>
        <v>2022</v>
      </c>
      <c r="D10" s="68">
        <v>278453.62</v>
      </c>
      <c r="E10" s="13">
        <f t="shared" si="2"/>
        <v>0.11472967306158344</v>
      </c>
      <c r="G10" s="59">
        <f t="shared" si="3"/>
        <v>7</v>
      </c>
      <c r="H10" s="66">
        <f t="shared" si="3"/>
        <v>2022</v>
      </c>
      <c r="I10" s="68">
        <v>24720.090000000015</v>
      </c>
      <c r="J10" s="50">
        <f t="shared" si="4"/>
        <v>-0.234374182150762</v>
      </c>
      <c r="K10" s="63"/>
      <c r="L10" s="59">
        <f t="shared" ref="L10:M10" si="10">L9+1</f>
        <v>7</v>
      </c>
      <c r="M10" s="66">
        <f t="shared" si="10"/>
        <v>2022</v>
      </c>
      <c r="N10" s="68">
        <v>-41.132140813683833</v>
      </c>
      <c r="O10" s="50">
        <f t="shared" si="6"/>
        <v>6.194349033807641</v>
      </c>
    </row>
    <row r="11" spans="1:15" x14ac:dyDescent="0.45">
      <c r="B11" s="76">
        <f t="shared" si="0"/>
        <v>8</v>
      </c>
      <c r="C11" s="77">
        <f t="shared" si="1"/>
        <v>2023</v>
      </c>
      <c r="D11" s="68">
        <v>345966.97</v>
      </c>
      <c r="E11" s="13">
        <f t="shared" si="2"/>
        <v>0.24245815155859707</v>
      </c>
      <c r="G11" s="59">
        <f t="shared" si="3"/>
        <v>8</v>
      </c>
      <c r="H11" s="66">
        <f t="shared" si="3"/>
        <v>2023</v>
      </c>
      <c r="I11" s="68">
        <v>31815.799999999959</v>
      </c>
      <c r="J11" s="50">
        <f t="shared" si="4"/>
        <v>0.28704223973294352</v>
      </c>
      <c r="K11" s="63"/>
      <c r="L11" s="59">
        <f t="shared" ref="L11:M11" si="11">L10+1</f>
        <v>8</v>
      </c>
      <c r="M11" s="66">
        <f t="shared" si="11"/>
        <v>2023</v>
      </c>
      <c r="N11" s="68">
        <v>-11.965495438533218</v>
      </c>
      <c r="O11" s="50">
        <f t="shared" si="6"/>
        <v>-0.70909621522659627</v>
      </c>
    </row>
    <row r="12" spans="1:15" x14ac:dyDescent="0.45">
      <c r="B12" s="76">
        <f t="shared" si="0"/>
        <v>9</v>
      </c>
      <c r="C12" s="77">
        <f t="shared" si="1"/>
        <v>2024</v>
      </c>
      <c r="D12" s="68">
        <v>434016</v>
      </c>
      <c r="E12" s="13">
        <f t="shared" si="2"/>
        <v>0.25450126062612277</v>
      </c>
      <c r="G12" s="59">
        <f t="shared" si="3"/>
        <v>9</v>
      </c>
      <c r="H12" s="66">
        <f t="shared" si="3"/>
        <v>2024</v>
      </c>
      <c r="I12" s="68">
        <v>57809</v>
      </c>
      <c r="J12" s="50">
        <f t="shared" si="4"/>
        <v>0.81699030041677645</v>
      </c>
      <c r="K12" s="63"/>
      <c r="L12" s="59">
        <f t="shared" ref="L12:M12" si="12">L11+1</f>
        <v>9</v>
      </c>
      <c r="M12" s="66">
        <f t="shared" si="12"/>
        <v>2024</v>
      </c>
      <c r="N12" s="68">
        <v>81.234768480909835</v>
      </c>
      <c r="O12" s="50">
        <f t="shared" si="6"/>
        <v>-7.7890852408254272</v>
      </c>
    </row>
    <row r="13" spans="1:15" x14ac:dyDescent="0.45">
      <c r="B13" s="76">
        <f t="shared" si="0"/>
        <v>10</v>
      </c>
      <c r="C13" s="77">
        <f t="shared" si="1"/>
        <v>2025</v>
      </c>
      <c r="D13" s="68">
        <v>439695</v>
      </c>
      <c r="E13" s="13">
        <f t="shared" si="2"/>
        <v>1.3084771068347711E-2</v>
      </c>
      <c r="G13" s="59">
        <f t="shared" si="3"/>
        <v>10</v>
      </c>
      <c r="H13" s="66">
        <f t="shared" si="3"/>
        <v>2025</v>
      </c>
      <c r="I13" s="68">
        <v>56138</v>
      </c>
      <c r="J13" s="50">
        <f t="shared" si="4"/>
        <v>-2.8905533740421041E-2</v>
      </c>
      <c r="K13" s="64"/>
      <c r="L13" s="59">
        <f t="shared" ref="L13:M13" si="13">L12+1</f>
        <v>10</v>
      </c>
      <c r="M13" s="66">
        <f t="shared" si="13"/>
        <v>2025</v>
      </c>
      <c r="N13" s="68">
        <v>46.986119034036889</v>
      </c>
      <c r="O13" s="50">
        <f t="shared" si="6"/>
        <v>-0.42160087469100593</v>
      </c>
    </row>
    <row r="14" spans="1:15" x14ac:dyDescent="0.45">
      <c r="A14" s="70"/>
      <c r="B14" s="78">
        <f t="shared" si="0"/>
        <v>11</v>
      </c>
      <c r="C14" s="79">
        <f t="shared" si="1"/>
        <v>2026</v>
      </c>
      <c r="D14" s="73">
        <f>IFERROR(FORECAST(B14,$D$4:$D$13,$B$4:$B$13),0)</f>
        <v>409204.26066666667</v>
      </c>
      <c r="E14" s="74">
        <f t="shared" si="2"/>
        <v>-6.9345203682855905E-2</v>
      </c>
      <c r="G14" s="71">
        <f t="shared" si="3"/>
        <v>11</v>
      </c>
      <c r="H14" s="72">
        <f t="shared" si="3"/>
        <v>2026</v>
      </c>
      <c r="I14" s="73">
        <f>IFERROR(FORECAST(G14,$I$4:$I$13,$G$4:$G$13),0)</f>
        <v>46935.839333333322</v>
      </c>
      <c r="J14" s="75">
        <f t="shared" si="4"/>
        <v>-0.16392035103969993</v>
      </c>
      <c r="K14" s="69"/>
      <c r="L14" s="71">
        <f t="shared" ref="L14:M14" si="14">L13+1</f>
        <v>11</v>
      </c>
      <c r="M14" s="72">
        <f t="shared" si="14"/>
        <v>2026</v>
      </c>
      <c r="N14" s="73">
        <f>IFERROR(FORECAST(G14,$N$4:$N$13,$L$4:$L$13),0)</f>
        <v>19.623418789068289</v>
      </c>
      <c r="O14" s="75">
        <f t="shared" si="6"/>
        <v>-0.58235710476847369</v>
      </c>
    </row>
    <row r="15" spans="1:15" x14ac:dyDescent="0.45">
      <c r="A15" s="70"/>
      <c r="B15" s="78">
        <f t="shared" si="0"/>
        <v>12</v>
      </c>
      <c r="C15" s="79">
        <f t="shared" si="1"/>
        <v>2027</v>
      </c>
      <c r="D15" s="73">
        <f t="shared" ref="D15:D18" si="15">IFERROR(FORECAST(B15,$D$4:$D$13,$B$4:$B$13),0)</f>
        <v>426419.19351515151</v>
      </c>
      <c r="E15" s="74">
        <f t="shared" si="2"/>
        <v>4.206929033543938E-2</v>
      </c>
      <c r="G15" s="71">
        <f t="shared" si="3"/>
        <v>12</v>
      </c>
      <c r="H15" s="72">
        <f t="shared" si="3"/>
        <v>2027</v>
      </c>
      <c r="I15" s="73">
        <f t="shared" ref="I15:I18" si="16">IFERROR(FORECAST(G15,$I$4:$I$13,$G$4:$G$13),0)</f>
        <v>49199.385757575743</v>
      </c>
      <c r="J15" s="75">
        <f t="shared" si="4"/>
        <v>4.822639706444698E-2</v>
      </c>
      <c r="K15" s="69"/>
      <c r="L15" s="71">
        <f t="shared" ref="L15:M15" si="17">L14+1</f>
        <v>12</v>
      </c>
      <c r="M15" s="72">
        <f t="shared" si="17"/>
        <v>2027</v>
      </c>
      <c r="N15" s="73">
        <f t="shared" ref="N15:N18" si="18">IFERROR(FORECAST(G15,$N$4:$N$13,$L$4:$L$13),0)</f>
        <v>21.536157216545497</v>
      </c>
      <c r="O15" s="75">
        <f t="shared" si="6"/>
        <v>9.7472231930490372E-2</v>
      </c>
    </row>
    <row r="16" spans="1:15" x14ac:dyDescent="0.45">
      <c r="A16" s="70"/>
      <c r="B16" s="78">
        <f t="shared" si="0"/>
        <v>13</v>
      </c>
      <c r="C16" s="79">
        <f t="shared" si="1"/>
        <v>2028</v>
      </c>
      <c r="D16" s="73">
        <f t="shared" si="15"/>
        <v>443634.12636363634</v>
      </c>
      <c r="E16" s="74">
        <f t="shared" si="2"/>
        <v>4.0370914607700925E-2</v>
      </c>
      <c r="G16" s="71">
        <f t="shared" si="3"/>
        <v>13</v>
      </c>
      <c r="H16" s="72">
        <f t="shared" si="3"/>
        <v>2028</v>
      </c>
      <c r="I16" s="73">
        <f t="shared" si="16"/>
        <v>51462.932181818171</v>
      </c>
      <c r="J16" s="75">
        <f t="shared" si="4"/>
        <v>4.6007615529913171E-2</v>
      </c>
      <c r="K16" s="69"/>
      <c r="L16" s="71">
        <f t="shared" ref="L16:M16" si="19">L15+1</f>
        <v>13</v>
      </c>
      <c r="M16" s="72">
        <f t="shared" si="19"/>
        <v>2028</v>
      </c>
      <c r="N16" s="73">
        <f t="shared" si="18"/>
        <v>23.448895644022713</v>
      </c>
      <c r="O16" s="75">
        <f t="shared" si="6"/>
        <v>8.8815214722138158E-2</v>
      </c>
    </row>
    <row r="17" spans="1:15" x14ac:dyDescent="0.45">
      <c r="A17" s="70"/>
      <c r="B17" s="78">
        <f t="shared" si="0"/>
        <v>14</v>
      </c>
      <c r="C17" s="79">
        <f t="shared" si="1"/>
        <v>2029</v>
      </c>
      <c r="D17" s="73">
        <f t="shared" si="15"/>
        <v>460849.05921212118</v>
      </c>
      <c r="E17" s="74">
        <f t="shared" si="2"/>
        <v>3.8804347604165512E-2</v>
      </c>
      <c r="G17" s="71">
        <f t="shared" si="3"/>
        <v>14</v>
      </c>
      <c r="H17" s="72">
        <f t="shared" si="3"/>
        <v>2029</v>
      </c>
      <c r="I17" s="73">
        <f t="shared" si="16"/>
        <v>53726.478606060591</v>
      </c>
      <c r="J17" s="75">
        <f t="shared" si="4"/>
        <v>4.3984015839698465E-2</v>
      </c>
      <c r="K17" s="69"/>
      <c r="L17" s="71">
        <f t="shared" ref="L17:M17" si="20">L16+1</f>
        <v>14</v>
      </c>
      <c r="M17" s="72">
        <f t="shared" si="20"/>
        <v>2029</v>
      </c>
      <c r="N17" s="73">
        <f t="shared" si="18"/>
        <v>25.361634071499921</v>
      </c>
      <c r="O17" s="75">
        <f t="shared" si="6"/>
        <v>8.1570512168865239E-2</v>
      </c>
    </row>
    <row r="18" spans="1:15" x14ac:dyDescent="0.45">
      <c r="A18" s="70"/>
      <c r="B18" s="78">
        <f t="shared" si="0"/>
        <v>15</v>
      </c>
      <c r="C18" s="79">
        <f t="shared" si="1"/>
        <v>2030</v>
      </c>
      <c r="D18" s="73">
        <f t="shared" si="15"/>
        <v>478063.99206060608</v>
      </c>
      <c r="E18" s="74">
        <f t="shared" si="2"/>
        <v>3.7354818252023803E-2</v>
      </c>
      <c r="G18" s="71">
        <f t="shared" si="3"/>
        <v>15</v>
      </c>
      <c r="H18" s="72">
        <f t="shared" si="3"/>
        <v>2030</v>
      </c>
      <c r="I18" s="73">
        <f t="shared" si="16"/>
        <v>55990.025030303019</v>
      </c>
      <c r="J18" s="75">
        <f t="shared" si="4"/>
        <v>4.2130928416869828E-2</v>
      </c>
      <c r="K18" s="69"/>
      <c r="L18" s="71">
        <f t="shared" ref="L18:M18" si="21">L17+1</f>
        <v>15</v>
      </c>
      <c r="M18" s="72">
        <f t="shared" si="21"/>
        <v>2030</v>
      </c>
      <c r="N18" s="73">
        <f t="shared" si="18"/>
        <v>27.274372498977129</v>
      </c>
      <c r="O18" s="75">
        <f t="shared" si="6"/>
        <v>7.5418579973387523E-2</v>
      </c>
    </row>
    <row r="19" spans="1:15" x14ac:dyDescent="0.45">
      <c r="B19" s="59"/>
      <c r="C19" s="67"/>
      <c r="D19" s="57"/>
      <c r="E19" s="13"/>
      <c r="G19" s="65"/>
      <c r="H19" s="65"/>
      <c r="I19" s="69"/>
      <c r="J19" s="69"/>
      <c r="K19" s="69"/>
      <c r="L19" s="69"/>
      <c r="M19" s="69"/>
      <c r="N19" s="69"/>
      <c r="O19" s="69"/>
    </row>
    <row r="20" spans="1:15" x14ac:dyDescent="0.45">
      <c r="B20" s="59"/>
      <c r="C20" s="67"/>
      <c r="D20" s="57"/>
      <c r="E20" s="13"/>
      <c r="G20" s="65"/>
      <c r="H20" s="65"/>
      <c r="I20" s="69"/>
      <c r="J20" s="69"/>
      <c r="K20" s="69"/>
      <c r="L20" s="69"/>
      <c r="M20" s="69"/>
      <c r="N20" s="69"/>
      <c r="O20" s="69"/>
    </row>
    <row r="21" spans="1:15" x14ac:dyDescent="0.45">
      <c r="G21" s="65"/>
      <c r="H21" s="65"/>
      <c r="I21" s="69"/>
      <c r="J21" s="69"/>
      <c r="K21" s="69"/>
      <c r="L21" s="69"/>
      <c r="M21" s="69"/>
      <c r="N21" s="69"/>
      <c r="O21" s="69"/>
    </row>
    <row r="22" spans="1:15" x14ac:dyDescent="0.45">
      <c r="G22" s="69"/>
      <c r="H22" s="69"/>
      <c r="I22" s="69"/>
      <c r="J22" s="69"/>
      <c r="K22" s="69"/>
      <c r="L22" s="69"/>
      <c r="M22" s="69"/>
      <c r="N22" s="69"/>
      <c r="O22" s="69"/>
    </row>
    <row r="23" spans="1:15" x14ac:dyDescent="0.45">
      <c r="G23" s="69"/>
      <c r="H23" s="69"/>
      <c r="I23" s="69"/>
      <c r="J23" s="69"/>
      <c r="K23" s="69"/>
      <c r="L23" s="69"/>
      <c r="M23" s="69"/>
      <c r="N23" s="69"/>
      <c r="O23" s="69"/>
    </row>
    <row r="24" spans="1:15" x14ac:dyDescent="0.45">
      <c r="G24" s="64"/>
      <c r="H24" s="64"/>
      <c r="I24" s="64"/>
      <c r="J24" s="64"/>
      <c r="K24" s="64"/>
      <c r="L24" s="64"/>
      <c r="M24" s="69"/>
      <c r="N24" s="69"/>
      <c r="O24" s="69"/>
    </row>
    <row r="25" spans="1:15" x14ac:dyDescent="0.45">
      <c r="G25" s="65"/>
      <c r="H25" s="65"/>
      <c r="I25" s="65"/>
      <c r="J25" s="65"/>
      <c r="K25" s="65"/>
      <c r="L25" s="65"/>
      <c r="M25" s="69"/>
      <c r="N25" s="69"/>
      <c r="O25" s="69"/>
    </row>
    <row r="26" spans="1:15" x14ac:dyDescent="0.45">
      <c r="D26" s="68"/>
      <c r="E26" s="13"/>
      <c r="G26" s="65"/>
      <c r="H26" s="65"/>
      <c r="I26" s="65"/>
      <c r="J26" s="65"/>
      <c r="K26" s="65"/>
      <c r="L26" s="65"/>
      <c r="M26" s="69"/>
      <c r="N26" s="69"/>
      <c r="O26" s="69"/>
    </row>
    <row r="27" spans="1:15" x14ac:dyDescent="0.45">
      <c r="D27" s="68"/>
      <c r="E27" s="13"/>
      <c r="G27" s="65"/>
      <c r="H27" s="65"/>
      <c r="I27" s="65"/>
      <c r="J27" s="65"/>
      <c r="K27" s="65"/>
      <c r="L27" s="65"/>
      <c r="M27" s="69"/>
      <c r="N27" s="69"/>
      <c r="O27" s="69"/>
    </row>
    <row r="28" spans="1:15" x14ac:dyDescent="0.45">
      <c r="D28" s="68"/>
      <c r="E28" s="13"/>
      <c r="G28" s="69"/>
      <c r="H28" s="69"/>
      <c r="I28" s="69"/>
      <c r="J28" s="69"/>
      <c r="K28" s="69"/>
      <c r="L28" s="69"/>
      <c r="M28" s="69"/>
      <c r="N28" s="69"/>
      <c r="O28" s="69"/>
    </row>
    <row r="29" spans="1:15" x14ac:dyDescent="0.45">
      <c r="D29" s="68"/>
      <c r="E29" s="13"/>
      <c r="G29" s="64"/>
      <c r="H29" s="64"/>
      <c r="I29" s="64"/>
      <c r="J29" s="64"/>
      <c r="K29" s="64"/>
      <c r="L29" s="64"/>
      <c r="M29" s="64"/>
      <c r="N29" s="64"/>
      <c r="O29" s="64"/>
    </row>
    <row r="30" spans="1:15" x14ac:dyDescent="0.45">
      <c r="D30" s="68"/>
      <c r="E30" s="13"/>
      <c r="G30" s="65"/>
      <c r="H30" s="65"/>
      <c r="I30" s="65"/>
      <c r="J30" s="65"/>
      <c r="K30" s="65"/>
      <c r="L30" s="65"/>
      <c r="M30" s="65"/>
      <c r="N30" s="65"/>
      <c r="O30" s="65"/>
    </row>
    <row r="31" spans="1:15" x14ac:dyDescent="0.45">
      <c r="G31" s="65"/>
      <c r="H31" s="65"/>
      <c r="I31" s="65"/>
      <c r="J31" s="65"/>
      <c r="K31" s="65"/>
      <c r="L31" s="65"/>
      <c r="M31" s="65"/>
      <c r="N31" s="65"/>
      <c r="O31" s="65"/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238B-0A5A-423F-9D77-54B759B875C7}">
  <sheetPr>
    <tabColor rgb="FF002060"/>
  </sheetPr>
  <dimension ref="A1"/>
  <sheetViews>
    <sheetView workbookViewId="0">
      <selection activeCell="G18" sqref="G18"/>
    </sheetView>
  </sheetViews>
  <sheetFormatPr defaultRowHeight="14.25" x14ac:dyDescent="0.4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EDE90-F46D-43E1-B3E3-C1CDDB509F5C}">
  <dimension ref="A1:K93"/>
  <sheetViews>
    <sheetView workbookViewId="0">
      <selection activeCell="A20" sqref="A20"/>
    </sheetView>
  </sheetViews>
  <sheetFormatPr defaultColWidth="8.796875" defaultRowHeight="14.25" x14ac:dyDescent="0.45"/>
  <cols>
    <col min="1" max="1" width="27.6640625" style="2" bestFit="1" customWidth="1"/>
    <col min="2" max="11" width="13.46484375" style="2" bestFit="1" customWidth="1"/>
    <col min="12" max="16384" width="8.796875" style="2"/>
  </cols>
  <sheetData>
    <row r="1" spans="1:11" s="1" customFormat="1" x14ac:dyDescent="0.45">
      <c r="A1" s="1" t="s">
        <v>0</v>
      </c>
      <c r="B1" s="1" t="s">
        <v>1</v>
      </c>
      <c r="E1" s="61" t="str">
        <f>IF(B2&lt;&gt;B3, "A NEW VERSION OF THE WORKSHEET IS AVAILABLE", "")</f>
        <v/>
      </c>
      <c r="F1" s="61"/>
      <c r="G1" s="61"/>
      <c r="H1" s="61"/>
      <c r="I1" s="61"/>
      <c r="J1" s="61"/>
      <c r="K1" s="61"/>
    </row>
    <row r="2" spans="1:11" x14ac:dyDescent="0.45">
      <c r="A2" s="1" t="s">
        <v>2</v>
      </c>
      <c r="B2" s="2">
        <v>2.1</v>
      </c>
      <c r="E2" s="62" t="s">
        <v>3</v>
      </c>
      <c r="F2" s="62"/>
      <c r="G2" s="62"/>
      <c r="H2" s="62"/>
      <c r="I2" s="62"/>
      <c r="J2" s="62"/>
      <c r="K2" s="62"/>
    </row>
    <row r="3" spans="1:11" x14ac:dyDescent="0.45">
      <c r="A3" s="1" t="s">
        <v>4</v>
      </c>
      <c r="B3" s="2">
        <v>2.1</v>
      </c>
    </row>
    <row r="4" spans="1:11" x14ac:dyDescent="0.45">
      <c r="A4" s="1"/>
    </row>
    <row r="5" spans="1:11" x14ac:dyDescent="0.45">
      <c r="A5" s="1" t="s">
        <v>5</v>
      </c>
    </row>
    <row r="6" spans="1:11" x14ac:dyDescent="0.45">
      <c r="A6" s="2" t="s">
        <v>6</v>
      </c>
      <c r="B6" s="2">
        <f>IF(B9&gt;0, B9/B8, 0)</f>
        <v>368.23789334216633</v>
      </c>
    </row>
    <row r="7" spans="1:11" x14ac:dyDescent="0.45">
      <c r="A7" s="2" t="s">
        <v>7</v>
      </c>
      <c r="B7">
        <v>2</v>
      </c>
    </row>
    <row r="8" spans="1:11" x14ac:dyDescent="0.45">
      <c r="A8" s="2" t="s">
        <v>8</v>
      </c>
      <c r="B8">
        <v>301.89999999999998</v>
      </c>
    </row>
    <row r="9" spans="1:11" x14ac:dyDescent="0.45">
      <c r="A9" s="2" t="s">
        <v>9</v>
      </c>
      <c r="B9">
        <v>111171.02</v>
      </c>
    </row>
    <row r="15" spans="1:11" x14ac:dyDescent="0.45">
      <c r="A15" s="1" t="s">
        <v>10</v>
      </c>
    </row>
    <row r="16" spans="1:11" s="5" customFormat="1" x14ac:dyDescent="0.45">
      <c r="A16" s="3" t="s">
        <v>11</v>
      </c>
      <c r="B16" s="4">
        <v>42460</v>
      </c>
      <c r="C16" s="4">
        <v>42825</v>
      </c>
      <c r="D16" s="4">
        <v>43190</v>
      </c>
      <c r="E16" s="4">
        <v>43555</v>
      </c>
      <c r="F16" s="4">
        <v>43921</v>
      </c>
      <c r="G16" s="4">
        <v>44286</v>
      </c>
      <c r="H16" s="4">
        <v>44651</v>
      </c>
      <c r="I16" s="4">
        <v>45016</v>
      </c>
      <c r="J16" s="4">
        <v>45382</v>
      </c>
      <c r="K16" s="4">
        <v>45747</v>
      </c>
    </row>
    <row r="17" spans="1:11" s="6" customFormat="1" x14ac:dyDescent="0.45">
      <c r="A17" s="6" t="s">
        <v>12</v>
      </c>
      <c r="B17">
        <v>273045.59999999998</v>
      </c>
      <c r="C17">
        <v>269692.51</v>
      </c>
      <c r="D17">
        <v>291550.48</v>
      </c>
      <c r="E17">
        <v>301938.40000000002</v>
      </c>
      <c r="F17">
        <v>261067.97</v>
      </c>
      <c r="G17">
        <v>249794.75</v>
      </c>
      <c r="H17">
        <v>278453.62</v>
      </c>
      <c r="I17">
        <v>345966.97</v>
      </c>
      <c r="J17">
        <v>434016</v>
      </c>
      <c r="K17">
        <v>439695</v>
      </c>
    </row>
    <row r="18" spans="1:11" s="6" customFormat="1" x14ac:dyDescent="0.45">
      <c r="A18" s="2" t="s">
        <v>13</v>
      </c>
      <c r="B18">
        <v>166134.01</v>
      </c>
      <c r="C18">
        <v>173294.07999999999</v>
      </c>
      <c r="D18">
        <v>187896.58</v>
      </c>
      <c r="E18">
        <v>194267.91</v>
      </c>
      <c r="F18">
        <v>164899.82</v>
      </c>
      <c r="G18">
        <v>153607.35999999999</v>
      </c>
      <c r="H18">
        <v>179295.33</v>
      </c>
      <c r="I18">
        <v>231251.26</v>
      </c>
      <c r="J18">
        <v>274321</v>
      </c>
      <c r="K18">
        <v>268950</v>
      </c>
    </row>
    <row r="19" spans="1:11" s="6" customFormat="1" x14ac:dyDescent="0.45">
      <c r="A19" s="2" t="s">
        <v>14</v>
      </c>
      <c r="B19">
        <v>2750.99</v>
      </c>
      <c r="C19">
        <v>7399.92</v>
      </c>
      <c r="D19">
        <v>2046.58</v>
      </c>
      <c r="E19">
        <v>-2053.2800000000002</v>
      </c>
      <c r="F19">
        <v>-2231.19</v>
      </c>
      <c r="G19">
        <v>-4684.16</v>
      </c>
      <c r="H19">
        <v>-1590.49</v>
      </c>
      <c r="I19">
        <v>4781.62</v>
      </c>
      <c r="J19">
        <v>1566</v>
      </c>
      <c r="K19">
        <v>-2836</v>
      </c>
    </row>
    <row r="20" spans="1:11" s="6" customFormat="1" x14ac:dyDescent="0.45">
      <c r="A20" s="2" t="s">
        <v>15</v>
      </c>
      <c r="B20">
        <v>1143.6300000000001</v>
      </c>
      <c r="C20">
        <v>1159.82</v>
      </c>
      <c r="D20">
        <v>1308.08</v>
      </c>
      <c r="E20">
        <v>1585.93</v>
      </c>
      <c r="F20">
        <v>1264.95</v>
      </c>
      <c r="G20">
        <v>1112.8699999999999</v>
      </c>
      <c r="H20">
        <v>2178.29</v>
      </c>
      <c r="I20">
        <v>2513.33</v>
      </c>
      <c r="J20">
        <v>2189</v>
      </c>
      <c r="K20">
        <v>2443</v>
      </c>
    </row>
    <row r="21" spans="1:11" s="6" customFormat="1" x14ac:dyDescent="0.45">
      <c r="A21" s="2" t="s">
        <v>16</v>
      </c>
      <c r="B21">
        <v>12101.53</v>
      </c>
      <c r="C21">
        <v>10067.370000000001</v>
      </c>
      <c r="D21">
        <v>10971.66</v>
      </c>
      <c r="E21">
        <v>11694.54</v>
      </c>
      <c r="F21">
        <v>11541.51</v>
      </c>
      <c r="G21">
        <v>8273.17</v>
      </c>
      <c r="H21">
        <v>9427.3799999999992</v>
      </c>
      <c r="I21">
        <v>11765.97</v>
      </c>
      <c r="J21">
        <v>17446</v>
      </c>
      <c r="K21">
        <v>18813</v>
      </c>
    </row>
    <row r="22" spans="1:11" s="6" customFormat="1" x14ac:dyDescent="0.45">
      <c r="A22" s="2" t="s">
        <v>17</v>
      </c>
      <c r="B22">
        <v>28880.89</v>
      </c>
      <c r="C22">
        <v>28332.89</v>
      </c>
      <c r="D22">
        <v>30300.09</v>
      </c>
      <c r="E22">
        <v>33243.870000000003</v>
      </c>
      <c r="F22">
        <v>30438.6</v>
      </c>
      <c r="G22">
        <v>27648.48</v>
      </c>
      <c r="H22">
        <v>30808.52</v>
      </c>
      <c r="I22">
        <v>33654.699999999997</v>
      </c>
      <c r="J22">
        <v>41990</v>
      </c>
      <c r="K22">
        <v>47767</v>
      </c>
    </row>
    <row r="23" spans="1:11" s="6" customFormat="1" x14ac:dyDescent="0.45">
      <c r="A23" s="2" t="s">
        <v>18</v>
      </c>
      <c r="B23">
        <v>21991.9</v>
      </c>
      <c r="C23">
        <v>30039.38</v>
      </c>
      <c r="D23">
        <v>31004.58</v>
      </c>
      <c r="E23">
        <v>32719.8</v>
      </c>
      <c r="F23">
        <v>29248.32</v>
      </c>
      <c r="G23">
        <v>23015.79</v>
      </c>
      <c r="H23">
        <v>29205.4</v>
      </c>
      <c r="I23">
        <v>34839.19</v>
      </c>
      <c r="J23">
        <v>42765</v>
      </c>
      <c r="K23">
        <v>47099</v>
      </c>
    </row>
    <row r="24" spans="1:11" s="6" customFormat="1" x14ac:dyDescent="0.45">
      <c r="A24" s="2" t="s">
        <v>19</v>
      </c>
      <c r="B24">
        <v>7149.38</v>
      </c>
      <c r="C24">
        <v>4610.2</v>
      </c>
      <c r="D24">
        <v>658.39</v>
      </c>
      <c r="E24">
        <v>1708.74</v>
      </c>
      <c r="F24">
        <v>3456.51</v>
      </c>
      <c r="G24">
        <v>-834.51</v>
      </c>
      <c r="H24">
        <v>1228.1199999999999</v>
      </c>
      <c r="I24">
        <v>4908.34</v>
      </c>
      <c r="J24">
        <v>-938</v>
      </c>
      <c r="K24">
        <v>-4351</v>
      </c>
    </row>
    <row r="25" spans="1:11" s="6" customFormat="1" x14ac:dyDescent="0.45">
      <c r="A25" s="6" t="s">
        <v>20</v>
      </c>
      <c r="B25">
        <v>-2669.62</v>
      </c>
      <c r="C25">
        <v>1869.1</v>
      </c>
      <c r="D25">
        <v>5932.73</v>
      </c>
      <c r="E25">
        <v>-26686.25</v>
      </c>
      <c r="F25">
        <v>101.71</v>
      </c>
      <c r="G25">
        <v>-11117.83</v>
      </c>
      <c r="H25">
        <v>2424.0500000000002</v>
      </c>
      <c r="I25">
        <v>6663.97</v>
      </c>
      <c r="J25">
        <v>4807</v>
      </c>
      <c r="K25">
        <v>10852</v>
      </c>
    </row>
    <row r="26" spans="1:11" s="6" customFormat="1" x14ac:dyDescent="0.45">
      <c r="A26" s="6" t="s">
        <v>21</v>
      </c>
      <c r="B26">
        <v>16710.78</v>
      </c>
      <c r="C26">
        <v>17904.990000000002</v>
      </c>
      <c r="D26">
        <v>21553.59</v>
      </c>
      <c r="E26">
        <v>23590.63</v>
      </c>
      <c r="F26">
        <v>21425.43</v>
      </c>
      <c r="G26">
        <v>23546.71</v>
      </c>
      <c r="H26">
        <v>24835.69</v>
      </c>
      <c r="I26">
        <v>24860.36</v>
      </c>
      <c r="J26">
        <v>27239</v>
      </c>
      <c r="K26">
        <v>23256</v>
      </c>
    </row>
    <row r="27" spans="1:11" s="6" customFormat="1" x14ac:dyDescent="0.45">
      <c r="A27" s="6" t="s">
        <v>22</v>
      </c>
      <c r="B27">
        <v>4889.08</v>
      </c>
      <c r="C27">
        <v>4238.01</v>
      </c>
      <c r="D27">
        <v>4681.79</v>
      </c>
      <c r="E27">
        <v>5758.6</v>
      </c>
      <c r="F27">
        <v>7243.33</v>
      </c>
      <c r="G27">
        <v>8097.17</v>
      </c>
      <c r="H27">
        <v>9311.86</v>
      </c>
      <c r="I27">
        <v>10225.48</v>
      </c>
      <c r="J27">
        <v>7594</v>
      </c>
      <c r="K27">
        <v>5083</v>
      </c>
    </row>
    <row r="28" spans="1:11" s="6" customFormat="1" x14ac:dyDescent="0.45">
      <c r="A28" s="6" t="s">
        <v>23</v>
      </c>
      <c r="B28">
        <v>14125.77</v>
      </c>
      <c r="C28">
        <v>9314.7900000000009</v>
      </c>
      <c r="D28">
        <v>11155.03</v>
      </c>
      <c r="E28">
        <v>-31371.15</v>
      </c>
      <c r="F28">
        <v>-10579.98</v>
      </c>
      <c r="G28">
        <v>-10474.280000000001</v>
      </c>
      <c r="H28">
        <v>-7003.41</v>
      </c>
      <c r="I28">
        <v>3393.93</v>
      </c>
      <c r="J28">
        <v>27783</v>
      </c>
      <c r="K28">
        <v>38651</v>
      </c>
    </row>
    <row r="29" spans="1:11" s="6" customFormat="1" x14ac:dyDescent="0.45">
      <c r="A29" s="6" t="s">
        <v>24</v>
      </c>
      <c r="B29">
        <v>3025.05</v>
      </c>
      <c r="C29">
        <v>3251.23</v>
      </c>
      <c r="D29">
        <v>4341.93</v>
      </c>
      <c r="E29">
        <v>-2437.4499999999998</v>
      </c>
      <c r="F29">
        <v>395.25</v>
      </c>
      <c r="G29">
        <v>2541.86</v>
      </c>
      <c r="H29">
        <v>4231.29</v>
      </c>
      <c r="I29">
        <v>704.06</v>
      </c>
      <c r="J29">
        <v>-4024</v>
      </c>
      <c r="K29">
        <v>10502</v>
      </c>
    </row>
    <row r="30" spans="1:11" s="6" customFormat="1" x14ac:dyDescent="0.45">
      <c r="A30" s="6" t="s">
        <v>25</v>
      </c>
      <c r="B30">
        <v>11579.31</v>
      </c>
      <c r="C30">
        <v>7454.36</v>
      </c>
      <c r="D30">
        <v>8988.91</v>
      </c>
      <c r="E30">
        <v>-28826.23</v>
      </c>
      <c r="F30">
        <v>-12070.85</v>
      </c>
      <c r="G30">
        <v>-13451.39</v>
      </c>
      <c r="H30">
        <v>-11441.47</v>
      </c>
      <c r="I30">
        <v>2414.29</v>
      </c>
      <c r="J30">
        <v>31399</v>
      </c>
      <c r="K30">
        <v>27830</v>
      </c>
    </row>
    <row r="31" spans="1:11" s="6" customFormat="1" x14ac:dyDescent="0.45">
      <c r="A31" s="6" t="s">
        <v>26</v>
      </c>
      <c r="B31">
        <v>67.92</v>
      </c>
      <c r="I31">
        <v>766.02</v>
      </c>
      <c r="J31">
        <v>2301</v>
      </c>
      <c r="K31">
        <v>2208</v>
      </c>
    </row>
    <row r="32" spans="1:11" s="6" customFormat="1" x14ac:dyDescent="0.45"/>
    <row r="33" spans="1:11" x14ac:dyDescent="0.45">
      <c r="A33" s="6"/>
    </row>
    <row r="34" spans="1:11" x14ac:dyDescent="0.45">
      <c r="A34" s="6"/>
    </row>
    <row r="35" spans="1:11" x14ac:dyDescent="0.45">
      <c r="A35" s="6"/>
    </row>
    <row r="36" spans="1:11" x14ac:dyDescent="0.45">
      <c r="A36" s="6"/>
    </row>
    <row r="37" spans="1:11" x14ac:dyDescent="0.45">
      <c r="A37" s="6"/>
    </row>
    <row r="38" spans="1:11" x14ac:dyDescent="0.45">
      <c r="A38" s="6"/>
    </row>
    <row r="39" spans="1:11" x14ac:dyDescent="0.45">
      <c r="A39" s="6"/>
    </row>
    <row r="40" spans="1:11" x14ac:dyDescent="0.45">
      <c r="A40" s="1" t="s">
        <v>27</v>
      </c>
    </row>
    <row r="41" spans="1:11" s="5" customFormat="1" x14ac:dyDescent="0.45">
      <c r="A41" s="3" t="s">
        <v>11</v>
      </c>
      <c r="B41" s="4">
        <v>45199</v>
      </c>
      <c r="C41" s="4">
        <v>45291</v>
      </c>
      <c r="D41" s="4">
        <v>45382</v>
      </c>
      <c r="E41" s="4">
        <v>45473</v>
      </c>
      <c r="F41" s="4">
        <v>45565</v>
      </c>
      <c r="G41" s="4">
        <v>45657</v>
      </c>
      <c r="H41" s="4">
        <v>45747</v>
      </c>
      <c r="I41" s="4">
        <v>45838</v>
      </c>
      <c r="J41" s="4">
        <v>45930</v>
      </c>
      <c r="K41" s="4">
        <v>46022</v>
      </c>
    </row>
    <row r="42" spans="1:11" s="6" customFormat="1" x14ac:dyDescent="0.45">
      <c r="A42" s="6" t="s">
        <v>12</v>
      </c>
      <c r="B42">
        <v>105129</v>
      </c>
      <c r="C42">
        <v>110577</v>
      </c>
      <c r="D42">
        <v>119033</v>
      </c>
      <c r="E42">
        <v>107102</v>
      </c>
      <c r="F42">
        <v>83656</v>
      </c>
      <c r="G42">
        <v>94472</v>
      </c>
      <c r="H42">
        <v>119503</v>
      </c>
      <c r="I42">
        <v>87677</v>
      </c>
      <c r="J42">
        <v>72349</v>
      </c>
      <c r="K42">
        <v>70108</v>
      </c>
    </row>
    <row r="43" spans="1:11" s="6" customFormat="1" x14ac:dyDescent="0.45">
      <c r="A43" s="6" t="s">
        <v>28</v>
      </c>
      <c r="B43">
        <v>91362</v>
      </c>
      <c r="C43">
        <v>95159</v>
      </c>
      <c r="D43">
        <v>102348</v>
      </c>
      <c r="E43">
        <v>91854</v>
      </c>
      <c r="F43">
        <v>73742</v>
      </c>
      <c r="G43">
        <v>84070</v>
      </c>
      <c r="H43">
        <v>102685</v>
      </c>
      <c r="I43">
        <v>79515</v>
      </c>
      <c r="J43">
        <v>73753</v>
      </c>
      <c r="K43">
        <v>69229</v>
      </c>
    </row>
    <row r="44" spans="1:11" s="6" customFormat="1" x14ac:dyDescent="0.45">
      <c r="A44" s="6" t="s">
        <v>20</v>
      </c>
      <c r="B44">
        <v>1557</v>
      </c>
      <c r="C44">
        <v>1604</v>
      </c>
      <c r="D44">
        <v>1412</v>
      </c>
      <c r="E44">
        <v>6553</v>
      </c>
      <c r="F44">
        <v>1920</v>
      </c>
      <c r="G44">
        <v>2730</v>
      </c>
      <c r="H44">
        <v>1057</v>
      </c>
      <c r="I44">
        <v>2690</v>
      </c>
      <c r="J44">
        <v>81507</v>
      </c>
      <c r="K44">
        <v>39</v>
      </c>
    </row>
    <row r="45" spans="1:11" s="6" customFormat="1" x14ac:dyDescent="0.45">
      <c r="A45" s="6" t="s">
        <v>21</v>
      </c>
      <c r="B45">
        <v>6637</v>
      </c>
      <c r="C45">
        <v>6850</v>
      </c>
      <c r="D45">
        <v>7143</v>
      </c>
      <c r="E45">
        <v>6565</v>
      </c>
      <c r="F45">
        <v>5467</v>
      </c>
      <c r="G45">
        <v>4863</v>
      </c>
      <c r="H45">
        <v>5295</v>
      </c>
      <c r="I45">
        <v>4851</v>
      </c>
      <c r="J45">
        <v>4871</v>
      </c>
      <c r="K45">
        <v>4969</v>
      </c>
    </row>
    <row r="46" spans="1:11" s="6" customFormat="1" x14ac:dyDescent="0.45">
      <c r="A46" s="6" t="s">
        <v>22</v>
      </c>
      <c r="B46">
        <v>2652</v>
      </c>
      <c r="C46">
        <v>2485</v>
      </c>
      <c r="D46">
        <v>1645</v>
      </c>
      <c r="E46">
        <v>1471</v>
      </c>
      <c r="F46">
        <v>1094</v>
      </c>
      <c r="G46">
        <v>843</v>
      </c>
      <c r="H46">
        <v>1076</v>
      </c>
      <c r="I46">
        <v>692</v>
      </c>
      <c r="J46">
        <v>686</v>
      </c>
      <c r="K46">
        <v>682</v>
      </c>
    </row>
    <row r="47" spans="1:11" s="6" customFormat="1" x14ac:dyDescent="0.45">
      <c r="A47" s="6" t="s">
        <v>23</v>
      </c>
      <c r="B47">
        <v>6035</v>
      </c>
      <c r="C47">
        <v>7687</v>
      </c>
      <c r="D47">
        <v>9309</v>
      </c>
      <c r="E47">
        <v>13765</v>
      </c>
      <c r="F47">
        <v>5273</v>
      </c>
      <c r="G47">
        <v>7426</v>
      </c>
      <c r="H47">
        <v>11504</v>
      </c>
      <c r="I47">
        <v>5309</v>
      </c>
      <c r="J47">
        <v>74546</v>
      </c>
      <c r="K47">
        <v>-4733</v>
      </c>
    </row>
    <row r="48" spans="1:11" s="6" customFormat="1" x14ac:dyDescent="0.45">
      <c r="A48" s="6" t="s">
        <v>24</v>
      </c>
      <c r="B48">
        <v>2203</v>
      </c>
      <c r="C48">
        <v>542</v>
      </c>
      <c r="D48">
        <v>-8219</v>
      </c>
      <c r="E48">
        <v>3178</v>
      </c>
      <c r="F48">
        <v>1752</v>
      </c>
      <c r="G48">
        <v>1942</v>
      </c>
      <c r="H48">
        <v>2948</v>
      </c>
      <c r="I48">
        <v>1306</v>
      </c>
      <c r="J48">
        <v>-1702</v>
      </c>
      <c r="K48">
        <v>-1250</v>
      </c>
    </row>
    <row r="49" spans="1:11" s="6" customFormat="1" x14ac:dyDescent="0.45">
      <c r="A49" s="6" t="s">
        <v>25</v>
      </c>
      <c r="B49">
        <v>3764</v>
      </c>
      <c r="C49">
        <v>7025</v>
      </c>
      <c r="D49">
        <v>17407</v>
      </c>
      <c r="E49">
        <v>10514</v>
      </c>
      <c r="F49">
        <v>3446</v>
      </c>
      <c r="G49">
        <v>5406</v>
      </c>
      <c r="H49">
        <v>8470</v>
      </c>
      <c r="I49">
        <v>3924</v>
      </c>
      <c r="J49">
        <v>76170</v>
      </c>
      <c r="K49">
        <v>-3486</v>
      </c>
    </row>
    <row r="50" spans="1:11" x14ac:dyDescent="0.45">
      <c r="A50" s="6" t="s">
        <v>29</v>
      </c>
      <c r="B50">
        <v>13767</v>
      </c>
      <c r="C50">
        <v>15418</v>
      </c>
      <c r="D50">
        <v>16685</v>
      </c>
      <c r="E50">
        <v>15248</v>
      </c>
      <c r="F50">
        <v>9914</v>
      </c>
      <c r="G50">
        <v>10402</v>
      </c>
      <c r="H50">
        <v>16818</v>
      </c>
      <c r="I50">
        <v>8162</v>
      </c>
      <c r="J50">
        <v>-1404</v>
      </c>
      <c r="K50">
        <v>879</v>
      </c>
    </row>
    <row r="51" spans="1:11" x14ac:dyDescent="0.45">
      <c r="A51" s="6"/>
    </row>
    <row r="52" spans="1:11" x14ac:dyDescent="0.45">
      <c r="A52" s="6"/>
    </row>
    <row r="53" spans="1:11" x14ac:dyDescent="0.45">
      <c r="A53" s="6"/>
    </row>
    <row r="54" spans="1:11" x14ac:dyDescent="0.45">
      <c r="A54" s="6"/>
    </row>
    <row r="55" spans="1:11" x14ac:dyDescent="0.45">
      <c r="A55" s="1" t="s">
        <v>30</v>
      </c>
    </row>
    <row r="56" spans="1:11" s="5" customFormat="1" x14ac:dyDescent="0.45">
      <c r="A56" s="3" t="s">
        <v>11</v>
      </c>
      <c r="B56" s="4">
        <v>42460</v>
      </c>
      <c r="C56" s="4">
        <v>42825</v>
      </c>
      <c r="D56" s="4">
        <v>43190</v>
      </c>
      <c r="E56" s="4">
        <v>43555</v>
      </c>
      <c r="F56" s="4">
        <v>43921</v>
      </c>
      <c r="G56" s="4">
        <v>44286</v>
      </c>
      <c r="H56" s="4">
        <v>44651</v>
      </c>
      <c r="I56" s="4">
        <v>45016</v>
      </c>
      <c r="J56" s="4">
        <v>45382</v>
      </c>
      <c r="K56" s="4">
        <v>45747</v>
      </c>
    </row>
    <row r="57" spans="1:11" x14ac:dyDescent="0.45">
      <c r="A57" s="6" t="s">
        <v>31</v>
      </c>
      <c r="B57">
        <v>679.18</v>
      </c>
      <c r="C57">
        <v>679.22</v>
      </c>
      <c r="D57">
        <v>679.22</v>
      </c>
      <c r="E57">
        <v>679.22</v>
      </c>
      <c r="F57">
        <v>719.54</v>
      </c>
      <c r="G57">
        <v>765.81</v>
      </c>
      <c r="H57">
        <v>765.88</v>
      </c>
      <c r="I57">
        <v>766.02</v>
      </c>
      <c r="J57">
        <v>767</v>
      </c>
      <c r="K57">
        <v>736</v>
      </c>
    </row>
    <row r="58" spans="1:11" x14ac:dyDescent="0.45">
      <c r="A58" s="6" t="s">
        <v>32</v>
      </c>
      <c r="B58">
        <v>78273.23</v>
      </c>
      <c r="C58">
        <v>57382.67</v>
      </c>
      <c r="D58">
        <v>94748.69</v>
      </c>
      <c r="E58">
        <v>59500.34</v>
      </c>
      <c r="F58">
        <v>62358.99</v>
      </c>
      <c r="G58">
        <v>54480.91</v>
      </c>
      <c r="H58">
        <v>43795.360000000001</v>
      </c>
      <c r="I58">
        <v>44555.77</v>
      </c>
      <c r="J58">
        <v>84151</v>
      </c>
      <c r="K58">
        <v>115408</v>
      </c>
    </row>
    <row r="59" spans="1:11" x14ac:dyDescent="0.45">
      <c r="A59" s="6" t="s">
        <v>33</v>
      </c>
      <c r="B59">
        <v>69359.960000000006</v>
      </c>
      <c r="C59">
        <v>78603.98</v>
      </c>
      <c r="D59">
        <v>88950.47</v>
      </c>
      <c r="E59">
        <v>106175.34</v>
      </c>
      <c r="F59">
        <v>124787.64</v>
      </c>
      <c r="G59">
        <v>142130.57</v>
      </c>
      <c r="H59">
        <v>146449.03</v>
      </c>
      <c r="I59">
        <v>134113.44</v>
      </c>
      <c r="J59">
        <v>107264</v>
      </c>
      <c r="K59">
        <v>71540</v>
      </c>
    </row>
    <row r="60" spans="1:11" x14ac:dyDescent="0.45">
      <c r="A60" s="6" t="s">
        <v>34</v>
      </c>
      <c r="B60">
        <v>114871.75</v>
      </c>
      <c r="C60">
        <v>135914.49</v>
      </c>
      <c r="D60">
        <v>142813.43</v>
      </c>
      <c r="E60">
        <v>139348.59</v>
      </c>
      <c r="F60">
        <v>132313.22</v>
      </c>
      <c r="G60">
        <v>144192.62</v>
      </c>
      <c r="H60">
        <v>138051.22</v>
      </c>
      <c r="I60">
        <v>155239.20000000001</v>
      </c>
      <c r="J60">
        <v>177339</v>
      </c>
      <c r="K60">
        <v>189289</v>
      </c>
    </row>
    <row r="61" spans="1:11" s="1" customFormat="1" x14ac:dyDescent="0.45">
      <c r="A61" s="1" t="s">
        <v>35</v>
      </c>
      <c r="B61">
        <v>263184.12</v>
      </c>
      <c r="C61">
        <v>272580.36</v>
      </c>
      <c r="D61">
        <v>327191.81</v>
      </c>
      <c r="E61">
        <v>305703.49</v>
      </c>
      <c r="F61">
        <v>320179.39</v>
      </c>
      <c r="G61">
        <v>341569.91</v>
      </c>
      <c r="H61">
        <v>329061.49</v>
      </c>
      <c r="I61">
        <v>334674.43</v>
      </c>
      <c r="J61">
        <v>369521</v>
      </c>
      <c r="K61">
        <v>376973</v>
      </c>
    </row>
    <row r="62" spans="1:11" x14ac:dyDescent="0.45">
      <c r="A62" s="6" t="s">
        <v>36</v>
      </c>
      <c r="B62">
        <v>107231.76</v>
      </c>
      <c r="C62">
        <v>95944.08</v>
      </c>
      <c r="D62">
        <v>121413.86</v>
      </c>
      <c r="E62">
        <v>111234.47</v>
      </c>
      <c r="F62">
        <v>127107.14</v>
      </c>
      <c r="G62">
        <v>138707.60999999999</v>
      </c>
      <c r="H62">
        <v>138855.45000000001</v>
      </c>
      <c r="I62">
        <v>132079.76</v>
      </c>
      <c r="J62">
        <v>121285</v>
      </c>
      <c r="K62">
        <v>115697</v>
      </c>
    </row>
    <row r="63" spans="1:11" x14ac:dyDescent="0.45">
      <c r="A63" s="6" t="s">
        <v>37</v>
      </c>
      <c r="B63">
        <v>25918.94</v>
      </c>
      <c r="C63">
        <v>33698.839999999997</v>
      </c>
      <c r="D63">
        <v>40033.5</v>
      </c>
      <c r="E63">
        <v>31883.84</v>
      </c>
      <c r="F63">
        <v>35622.29</v>
      </c>
      <c r="G63">
        <v>20963.93</v>
      </c>
      <c r="H63">
        <v>10251.09</v>
      </c>
      <c r="I63">
        <v>14274.5</v>
      </c>
      <c r="J63">
        <v>35698</v>
      </c>
      <c r="K63">
        <v>65806</v>
      </c>
    </row>
    <row r="64" spans="1:11" x14ac:dyDescent="0.45">
      <c r="A64" s="6" t="s">
        <v>38</v>
      </c>
      <c r="B64">
        <v>23767.02</v>
      </c>
      <c r="C64">
        <v>20337.919999999998</v>
      </c>
      <c r="D64">
        <v>20812.75</v>
      </c>
      <c r="E64">
        <v>15770.72</v>
      </c>
      <c r="F64">
        <v>16308.48</v>
      </c>
      <c r="G64">
        <v>24620.28</v>
      </c>
      <c r="H64">
        <v>29379.53</v>
      </c>
      <c r="I64">
        <v>26379.16</v>
      </c>
      <c r="J64">
        <v>22971</v>
      </c>
      <c r="K64">
        <v>35656</v>
      </c>
    </row>
    <row r="65" spans="1:11" x14ac:dyDescent="0.45">
      <c r="A65" s="6" t="s">
        <v>39</v>
      </c>
      <c r="B65">
        <v>106266.4</v>
      </c>
      <c r="C65">
        <v>122599.52</v>
      </c>
      <c r="D65">
        <v>144931.70000000001</v>
      </c>
      <c r="E65">
        <v>146814.46</v>
      </c>
      <c r="F65">
        <v>141141.48000000001</v>
      </c>
      <c r="G65">
        <v>157278.09</v>
      </c>
      <c r="H65">
        <v>150575.42000000001</v>
      </c>
      <c r="I65">
        <v>161941.01</v>
      </c>
      <c r="J65">
        <v>189567</v>
      </c>
      <c r="K65">
        <v>159814</v>
      </c>
    </row>
    <row r="66" spans="1:11" s="1" customFormat="1" x14ac:dyDescent="0.45">
      <c r="A66" s="1" t="s">
        <v>35</v>
      </c>
      <c r="B66">
        <v>263184.12</v>
      </c>
      <c r="C66">
        <v>272580.36</v>
      </c>
      <c r="D66">
        <v>327191.81</v>
      </c>
      <c r="E66">
        <v>305703.49</v>
      </c>
      <c r="F66">
        <v>320179.39</v>
      </c>
      <c r="G66">
        <v>341569.91</v>
      </c>
      <c r="H66">
        <v>329061.49</v>
      </c>
      <c r="I66">
        <v>334674.43</v>
      </c>
      <c r="J66">
        <v>369521</v>
      </c>
      <c r="K66">
        <v>376973</v>
      </c>
    </row>
    <row r="67" spans="1:11" s="6" customFormat="1" x14ac:dyDescent="0.45">
      <c r="A67" s="6" t="s">
        <v>40</v>
      </c>
      <c r="B67">
        <v>13570.91</v>
      </c>
      <c r="C67">
        <v>14075.55</v>
      </c>
      <c r="D67">
        <v>19893.3</v>
      </c>
      <c r="E67">
        <v>18996.169999999998</v>
      </c>
      <c r="F67">
        <v>11172.69</v>
      </c>
      <c r="G67">
        <v>12679.08</v>
      </c>
      <c r="H67">
        <v>12442.12</v>
      </c>
      <c r="I67">
        <v>15737.97</v>
      </c>
      <c r="J67">
        <v>16952</v>
      </c>
      <c r="K67">
        <v>13248</v>
      </c>
    </row>
    <row r="68" spans="1:11" x14ac:dyDescent="0.45">
      <c r="A68" s="6" t="s">
        <v>41</v>
      </c>
      <c r="B68">
        <v>32655.73</v>
      </c>
      <c r="C68">
        <v>35085.31</v>
      </c>
      <c r="D68">
        <v>42137.63</v>
      </c>
      <c r="E68">
        <v>39013.730000000003</v>
      </c>
      <c r="F68">
        <v>37456.879999999997</v>
      </c>
      <c r="G68">
        <v>36088.589999999997</v>
      </c>
      <c r="H68">
        <v>35240.339999999997</v>
      </c>
      <c r="I68">
        <v>40755.39</v>
      </c>
      <c r="J68">
        <v>47788</v>
      </c>
      <c r="K68">
        <v>47269</v>
      </c>
    </row>
    <row r="69" spans="1:11" x14ac:dyDescent="0.45">
      <c r="A69" s="2" t="s">
        <v>42</v>
      </c>
      <c r="B69">
        <v>30460.400000000001</v>
      </c>
      <c r="C69">
        <v>36077.879999999997</v>
      </c>
      <c r="D69">
        <v>34613.910000000003</v>
      </c>
      <c r="E69">
        <v>32648.82</v>
      </c>
      <c r="F69">
        <v>33726.97</v>
      </c>
      <c r="G69">
        <v>46792.46</v>
      </c>
      <c r="H69">
        <v>40669.19</v>
      </c>
      <c r="I69">
        <v>37015.56</v>
      </c>
      <c r="J69">
        <v>45807</v>
      </c>
      <c r="K69">
        <v>40834</v>
      </c>
    </row>
    <row r="70" spans="1:11" x14ac:dyDescent="0.45">
      <c r="A70" s="2" t="s">
        <v>43</v>
      </c>
      <c r="B70">
        <v>3395930306</v>
      </c>
      <c r="C70">
        <v>3396100719</v>
      </c>
      <c r="D70">
        <v>3396100719</v>
      </c>
      <c r="E70">
        <v>3396100719</v>
      </c>
      <c r="F70">
        <v>3597726185</v>
      </c>
      <c r="G70">
        <v>3829060661</v>
      </c>
      <c r="H70">
        <v>3829414903</v>
      </c>
      <c r="I70">
        <v>3830097221</v>
      </c>
      <c r="J70">
        <v>3832491897</v>
      </c>
      <c r="K70">
        <v>3681348742</v>
      </c>
    </row>
    <row r="71" spans="1:11" x14ac:dyDescent="0.45">
      <c r="A71" s="2" t="s">
        <v>44</v>
      </c>
    </row>
    <row r="72" spans="1:11" x14ac:dyDescent="0.45">
      <c r="A72" s="2" t="s">
        <v>45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74" spans="1:11" x14ac:dyDescent="0.45">
      <c r="A74" s="6"/>
    </row>
    <row r="75" spans="1:11" x14ac:dyDescent="0.45">
      <c r="A75" s="6"/>
    </row>
    <row r="76" spans="1:11" x14ac:dyDescent="0.45">
      <c r="A76" s="6"/>
    </row>
    <row r="77" spans="1:11" x14ac:dyDescent="0.45">
      <c r="A77" s="6"/>
    </row>
    <row r="78" spans="1:11" x14ac:dyDescent="0.45">
      <c r="A78" s="6"/>
    </row>
    <row r="79" spans="1:11" x14ac:dyDescent="0.45">
      <c r="A79" s="6"/>
    </row>
    <row r="80" spans="1:11" x14ac:dyDescent="0.45">
      <c r="A80" s="1" t="s">
        <v>46</v>
      </c>
    </row>
    <row r="81" spans="1:11" s="5" customFormat="1" x14ac:dyDescent="0.45">
      <c r="A81" s="3" t="s">
        <v>11</v>
      </c>
      <c r="B81" s="4">
        <v>42460</v>
      </c>
      <c r="C81" s="4">
        <v>42825</v>
      </c>
      <c r="D81" s="4">
        <v>43190</v>
      </c>
      <c r="E81" s="4">
        <v>43555</v>
      </c>
      <c r="F81" s="4">
        <v>43921</v>
      </c>
      <c r="G81" s="4">
        <v>44286</v>
      </c>
      <c r="H81" s="4">
        <v>44651</v>
      </c>
      <c r="I81" s="4">
        <v>45016</v>
      </c>
      <c r="J81" s="4">
        <v>45382</v>
      </c>
      <c r="K81" s="4">
        <v>45747</v>
      </c>
    </row>
    <row r="82" spans="1:11" s="1" customFormat="1" x14ac:dyDescent="0.45">
      <c r="A82" s="6" t="s">
        <v>47</v>
      </c>
      <c r="B82">
        <v>37899.54</v>
      </c>
      <c r="C82">
        <v>30199.25</v>
      </c>
      <c r="D82">
        <v>23857.42</v>
      </c>
      <c r="E82">
        <v>18890.75</v>
      </c>
      <c r="F82">
        <v>26632.94</v>
      </c>
      <c r="G82">
        <v>29000.51</v>
      </c>
      <c r="H82">
        <v>14282.83</v>
      </c>
      <c r="I82">
        <v>35388.01</v>
      </c>
      <c r="J82">
        <v>67915</v>
      </c>
      <c r="K82">
        <v>63102</v>
      </c>
    </row>
    <row r="83" spans="1:11" s="6" customFormat="1" x14ac:dyDescent="0.45">
      <c r="A83" s="6" t="s">
        <v>48</v>
      </c>
      <c r="B83">
        <v>-36693.9</v>
      </c>
      <c r="C83">
        <v>-39571.4</v>
      </c>
      <c r="D83">
        <v>-25139.14</v>
      </c>
      <c r="E83">
        <v>-20878.07</v>
      </c>
      <c r="F83">
        <v>-33114.550000000003</v>
      </c>
      <c r="G83">
        <v>-25672.5</v>
      </c>
      <c r="H83">
        <v>-4443.66</v>
      </c>
      <c r="I83">
        <v>-15417.17</v>
      </c>
      <c r="J83">
        <v>-22781</v>
      </c>
      <c r="K83">
        <v>-49982</v>
      </c>
    </row>
    <row r="84" spans="1:11" s="6" customFormat="1" x14ac:dyDescent="0.45">
      <c r="A84" s="6" t="s">
        <v>49</v>
      </c>
      <c r="B84">
        <v>-3795.12</v>
      </c>
      <c r="C84">
        <v>6205.3</v>
      </c>
      <c r="D84">
        <v>2011.71</v>
      </c>
      <c r="E84">
        <v>8830.3700000000008</v>
      </c>
      <c r="F84">
        <v>3389.61</v>
      </c>
      <c r="G84">
        <v>9904.2000000000007</v>
      </c>
      <c r="H84">
        <v>-3380.17</v>
      </c>
      <c r="I84">
        <v>-26242.9</v>
      </c>
      <c r="J84">
        <v>-37006</v>
      </c>
      <c r="K84">
        <v>-18786</v>
      </c>
    </row>
    <row r="85" spans="1:11" s="1" customFormat="1" x14ac:dyDescent="0.45">
      <c r="A85" s="6" t="s">
        <v>50</v>
      </c>
      <c r="B85">
        <v>-2589.48</v>
      </c>
      <c r="C85">
        <v>-3166.85</v>
      </c>
      <c r="D85">
        <v>729.99</v>
      </c>
      <c r="E85">
        <v>6843.05</v>
      </c>
      <c r="F85">
        <v>-3092</v>
      </c>
      <c r="G85">
        <v>13232.21</v>
      </c>
      <c r="H85">
        <v>6459</v>
      </c>
      <c r="I85">
        <v>-6272.06</v>
      </c>
      <c r="J85">
        <v>8128</v>
      </c>
      <c r="K85">
        <v>-5666</v>
      </c>
    </row>
    <row r="86" spans="1:11" x14ac:dyDescent="0.45">
      <c r="A86" s="6"/>
    </row>
    <row r="87" spans="1:11" x14ac:dyDescent="0.45">
      <c r="A87" s="6"/>
    </row>
    <row r="88" spans="1:11" x14ac:dyDescent="0.45">
      <c r="A88" s="6"/>
    </row>
    <row r="89" spans="1:11" x14ac:dyDescent="0.45">
      <c r="A89" s="6"/>
    </row>
    <row r="90" spans="1:11" s="1" customFormat="1" x14ac:dyDescent="0.45">
      <c r="A90" s="1" t="s">
        <v>51</v>
      </c>
      <c r="B90">
        <v>233.55</v>
      </c>
      <c r="C90">
        <v>281.43</v>
      </c>
      <c r="D90">
        <v>197.46</v>
      </c>
      <c r="E90">
        <v>105.27</v>
      </c>
      <c r="F90">
        <v>42.92</v>
      </c>
      <c r="G90">
        <v>182.32</v>
      </c>
      <c r="H90">
        <v>262.04000000000002</v>
      </c>
      <c r="I90">
        <v>254.22</v>
      </c>
      <c r="J90">
        <v>599.77</v>
      </c>
      <c r="K90">
        <v>407.45</v>
      </c>
    </row>
    <row r="92" spans="1:11" s="1" customFormat="1" x14ac:dyDescent="0.45">
      <c r="A92" s="1" t="s">
        <v>52</v>
      </c>
    </row>
    <row r="93" spans="1:11" x14ac:dyDescent="0.45">
      <c r="A93" s="2" t="s">
        <v>53</v>
      </c>
      <c r="B93" s="7">
        <v>288.72000000000003</v>
      </c>
      <c r="C93" s="7">
        <v>288.73</v>
      </c>
      <c r="D93" s="7">
        <v>288.73</v>
      </c>
      <c r="E93" s="7">
        <v>288.73</v>
      </c>
      <c r="F93" s="7">
        <v>308.89999999999998</v>
      </c>
      <c r="G93" s="7">
        <v>332.03</v>
      </c>
      <c r="H93" s="7">
        <v>332.07</v>
      </c>
      <c r="I93" s="7">
        <v>332.13</v>
      </c>
      <c r="J93" s="7">
        <v>332.37</v>
      </c>
      <c r="K93" s="7">
        <v>368.13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6CF4B7F1-C4A8-471C-805F-90774DDB2A0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E79C3-5819-4317-BF21-6805C51821CD}">
  <dimension ref="B2:N3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4" sqref="E14"/>
    </sheetView>
  </sheetViews>
  <sheetFormatPr defaultRowHeight="14.25" x14ac:dyDescent="0.45"/>
  <cols>
    <col min="1" max="1" width="1.73046875" customWidth="1"/>
    <col min="2" max="2" width="25.73046875" bestFit="1" customWidth="1"/>
    <col min="3" max="14" width="10.59765625" customWidth="1"/>
  </cols>
  <sheetData>
    <row r="2" spans="2:14" x14ac:dyDescent="0.45">
      <c r="B2" t="s">
        <v>113</v>
      </c>
      <c r="C2" s="9">
        <v>41699</v>
      </c>
      <c r="D2" s="9">
        <v>42064</v>
      </c>
      <c r="E2" s="10">
        <v>42430</v>
      </c>
      <c r="F2" s="10">
        <v>42795</v>
      </c>
      <c r="G2" s="10">
        <v>43160</v>
      </c>
      <c r="H2" s="10">
        <v>43525</v>
      </c>
      <c r="I2" s="10">
        <v>43891</v>
      </c>
      <c r="J2" s="10">
        <v>44256</v>
      </c>
      <c r="K2" s="10">
        <v>44621</v>
      </c>
      <c r="L2" s="10">
        <v>44986</v>
      </c>
      <c r="M2" s="10">
        <v>45352</v>
      </c>
      <c r="N2" s="10">
        <v>45717</v>
      </c>
    </row>
    <row r="3" spans="2:14" x14ac:dyDescent="0.45">
      <c r="B3" s="8" t="s">
        <v>118</v>
      </c>
      <c r="C3" s="12">
        <v>36151</v>
      </c>
      <c r="D3" s="12">
        <v>35531</v>
      </c>
      <c r="E3" s="12">
        <v>37900</v>
      </c>
      <c r="F3" s="12">
        <v>30199</v>
      </c>
      <c r="G3" s="12">
        <v>23857</v>
      </c>
      <c r="H3" s="12">
        <v>18891</v>
      </c>
      <c r="I3" s="12">
        <v>26633</v>
      </c>
      <c r="J3" s="12">
        <v>29001</v>
      </c>
      <c r="K3" s="12">
        <v>14283</v>
      </c>
      <c r="L3" s="12">
        <v>35388</v>
      </c>
      <c r="M3" s="12">
        <v>67915</v>
      </c>
      <c r="N3" s="12">
        <v>63102</v>
      </c>
    </row>
    <row r="4" spans="2:14" x14ac:dyDescent="0.45">
      <c r="B4" t="s">
        <v>88</v>
      </c>
      <c r="C4" s="12">
        <v>36303</v>
      </c>
      <c r="D4" s="12">
        <v>43397</v>
      </c>
      <c r="E4" s="12">
        <v>38626</v>
      </c>
      <c r="F4" s="12">
        <v>28840</v>
      </c>
      <c r="G4" s="12">
        <v>33312</v>
      </c>
      <c r="H4" s="12">
        <v>28771</v>
      </c>
      <c r="I4" s="12">
        <v>23352</v>
      </c>
      <c r="J4" s="12">
        <v>31198</v>
      </c>
      <c r="K4" s="12">
        <v>26943</v>
      </c>
      <c r="L4" s="12">
        <v>41694</v>
      </c>
      <c r="M4" s="12">
        <v>65106</v>
      </c>
      <c r="N4" s="12">
        <v>58937</v>
      </c>
    </row>
    <row r="5" spans="2:14" x14ac:dyDescent="0.45">
      <c r="B5" t="s">
        <v>40</v>
      </c>
      <c r="C5" s="12">
        <v>445</v>
      </c>
      <c r="D5" s="12">
        <v>-3179</v>
      </c>
      <c r="E5" s="12">
        <v>-2223</v>
      </c>
      <c r="F5" s="12">
        <v>-4152</v>
      </c>
      <c r="G5" s="12">
        <v>-10688</v>
      </c>
      <c r="H5" s="12">
        <v>-9109</v>
      </c>
      <c r="I5" s="12">
        <v>9950</v>
      </c>
      <c r="J5" s="12">
        <v>-5505</v>
      </c>
      <c r="K5" s="12">
        <v>185</v>
      </c>
      <c r="L5" s="12">
        <v>-2213</v>
      </c>
      <c r="M5" s="12">
        <v>-1876</v>
      </c>
      <c r="N5" s="12">
        <v>3573</v>
      </c>
    </row>
    <row r="6" spans="2:14" x14ac:dyDescent="0.45">
      <c r="B6" t="s">
        <v>41</v>
      </c>
      <c r="C6" s="12">
        <v>-2853</v>
      </c>
      <c r="D6" s="12">
        <v>-3692</v>
      </c>
      <c r="E6" s="12">
        <v>-5743</v>
      </c>
      <c r="F6" s="12">
        <v>-6621</v>
      </c>
      <c r="G6" s="12">
        <v>-3560</v>
      </c>
      <c r="H6" s="12">
        <v>2069</v>
      </c>
      <c r="I6" s="12">
        <v>2326</v>
      </c>
      <c r="J6" s="12">
        <v>3814</v>
      </c>
      <c r="K6" s="12">
        <v>472</v>
      </c>
      <c r="L6" s="12">
        <v>-5665</v>
      </c>
      <c r="M6" s="12">
        <v>-7265</v>
      </c>
      <c r="N6" s="12">
        <v>2127</v>
      </c>
    </row>
    <row r="7" spans="2:14" x14ac:dyDescent="0.45">
      <c r="B7" t="s">
        <v>89</v>
      </c>
      <c r="C7" s="12">
        <v>4694</v>
      </c>
      <c r="D7" s="12">
        <v>3598</v>
      </c>
      <c r="E7" s="12">
        <v>3947</v>
      </c>
      <c r="F7" s="12">
        <v>9301</v>
      </c>
      <c r="G7" s="12">
        <v>7320</v>
      </c>
      <c r="H7" s="12">
        <v>-4692</v>
      </c>
      <c r="I7" s="12">
        <v>-8085</v>
      </c>
      <c r="J7" s="12">
        <v>5748</v>
      </c>
      <c r="K7" s="12">
        <v>-7012</v>
      </c>
      <c r="L7" s="12">
        <v>6945</v>
      </c>
      <c r="M7" s="12">
        <v>13706</v>
      </c>
      <c r="N7" s="12">
        <v>1303</v>
      </c>
    </row>
    <row r="8" spans="2:14" x14ac:dyDescent="0.45">
      <c r="B8" t="s">
        <v>90</v>
      </c>
      <c r="C8" s="12">
        <v>0</v>
      </c>
      <c r="D8" s="12">
        <v>0</v>
      </c>
      <c r="E8" s="12">
        <v>-520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</row>
    <row r="9" spans="2:14" x14ac:dyDescent="0.45">
      <c r="B9" t="s">
        <v>91</v>
      </c>
      <c r="C9" s="12">
        <v>1870</v>
      </c>
      <c r="D9" s="12">
        <v>-398</v>
      </c>
      <c r="E9" s="12">
        <v>5852</v>
      </c>
      <c r="F9" s="12">
        <v>4727</v>
      </c>
      <c r="G9" s="12">
        <v>494</v>
      </c>
      <c r="H9" s="12">
        <v>4512</v>
      </c>
      <c r="I9" s="12">
        <v>875</v>
      </c>
      <c r="J9" s="12">
        <v>-4150</v>
      </c>
      <c r="K9" s="12">
        <v>-4396</v>
      </c>
      <c r="L9" s="12">
        <v>-2194</v>
      </c>
      <c r="M9" s="12">
        <v>2760</v>
      </c>
      <c r="N9" s="12">
        <v>1153</v>
      </c>
    </row>
    <row r="10" spans="2:14" x14ac:dyDescent="0.45">
      <c r="B10" t="s">
        <v>92</v>
      </c>
      <c r="C10" s="12">
        <v>4157</v>
      </c>
      <c r="D10" s="12">
        <v>-3672</v>
      </c>
      <c r="E10" s="12">
        <v>1313</v>
      </c>
      <c r="F10" s="12">
        <v>3254</v>
      </c>
      <c r="G10" s="12">
        <v>-6434</v>
      </c>
      <c r="H10" s="12">
        <v>-7221</v>
      </c>
      <c r="I10" s="12">
        <v>5065</v>
      </c>
      <c r="J10" s="12">
        <v>-93</v>
      </c>
      <c r="K10" s="12">
        <v>-10750</v>
      </c>
      <c r="L10" s="12">
        <v>-3127</v>
      </c>
      <c r="M10" s="12">
        <v>7325</v>
      </c>
      <c r="N10" s="12">
        <v>8156</v>
      </c>
    </row>
    <row r="11" spans="2:14" x14ac:dyDescent="0.45">
      <c r="B11" t="s">
        <v>93</v>
      </c>
      <c r="C11" s="12">
        <v>-4308</v>
      </c>
      <c r="D11" s="12">
        <v>-4194</v>
      </c>
      <c r="E11" s="12">
        <v>-2040</v>
      </c>
      <c r="F11" s="12">
        <v>-1895</v>
      </c>
      <c r="G11" s="12">
        <v>-3021</v>
      </c>
      <c r="H11" s="12">
        <v>-2659</v>
      </c>
      <c r="I11" s="12">
        <v>-1785</v>
      </c>
      <c r="J11" s="12">
        <v>-2105</v>
      </c>
      <c r="K11" s="12">
        <v>-1910</v>
      </c>
      <c r="L11" s="12">
        <v>-3179</v>
      </c>
      <c r="M11" s="12">
        <v>-4516</v>
      </c>
      <c r="N11" s="12">
        <v>-3991</v>
      </c>
    </row>
    <row r="12" spans="2:14" x14ac:dyDescent="0.45">
      <c r="B12" s="8" t="s">
        <v>120</v>
      </c>
      <c r="C12" s="12">
        <v>-27991</v>
      </c>
      <c r="D12" s="12">
        <v>-36232</v>
      </c>
      <c r="E12" s="12">
        <v>-36694</v>
      </c>
      <c r="F12" s="12">
        <v>-39571</v>
      </c>
      <c r="G12" s="12">
        <v>-25139</v>
      </c>
      <c r="H12" s="12">
        <v>-20878</v>
      </c>
      <c r="I12" s="12">
        <v>-33115</v>
      </c>
      <c r="J12" s="12">
        <v>-25672</v>
      </c>
      <c r="K12" s="12">
        <v>-4444</v>
      </c>
      <c r="L12" s="12">
        <v>-15417</v>
      </c>
      <c r="M12" s="12">
        <v>-22781</v>
      </c>
      <c r="N12" s="12">
        <v>-49982</v>
      </c>
    </row>
    <row r="13" spans="2:14" x14ac:dyDescent="0.45">
      <c r="B13" t="s">
        <v>94</v>
      </c>
      <c r="C13" s="12">
        <v>-26975</v>
      </c>
      <c r="D13" s="12">
        <v>-31962</v>
      </c>
      <c r="E13" s="12">
        <v>-31503</v>
      </c>
      <c r="F13" s="12">
        <v>-16072</v>
      </c>
      <c r="G13" s="12">
        <v>-35079</v>
      </c>
      <c r="H13" s="12">
        <v>-35304</v>
      </c>
      <c r="I13" s="12">
        <v>-29702</v>
      </c>
      <c r="J13" s="12">
        <v>-20205</v>
      </c>
      <c r="K13" s="12">
        <v>-15168</v>
      </c>
      <c r="L13" s="12">
        <v>-19230</v>
      </c>
      <c r="M13" s="12">
        <v>-31414</v>
      </c>
      <c r="N13" s="12">
        <v>-38042</v>
      </c>
    </row>
    <row r="14" spans="2:14" x14ac:dyDescent="0.45">
      <c r="B14" t="s">
        <v>95</v>
      </c>
      <c r="C14" s="12">
        <v>50</v>
      </c>
      <c r="D14" s="12">
        <v>74</v>
      </c>
      <c r="E14" s="12">
        <v>59</v>
      </c>
      <c r="F14" s="12">
        <v>53</v>
      </c>
      <c r="G14" s="12">
        <v>30</v>
      </c>
      <c r="H14" s="12">
        <v>67</v>
      </c>
      <c r="I14" s="12">
        <v>171</v>
      </c>
      <c r="J14" s="12">
        <v>351</v>
      </c>
      <c r="K14" s="12">
        <v>230</v>
      </c>
      <c r="L14" s="12">
        <v>285</v>
      </c>
      <c r="M14" s="12">
        <v>231</v>
      </c>
      <c r="N14" s="12">
        <v>974</v>
      </c>
    </row>
    <row r="15" spans="2:14" x14ac:dyDescent="0.45">
      <c r="B15" t="s">
        <v>96</v>
      </c>
      <c r="C15" s="12">
        <v>-429</v>
      </c>
      <c r="D15" s="12">
        <v>-5461</v>
      </c>
      <c r="E15" s="12">
        <v>-4728</v>
      </c>
      <c r="F15" s="12">
        <v>-6</v>
      </c>
      <c r="G15" s="12">
        <v>-329</v>
      </c>
      <c r="H15" s="12">
        <v>-130</v>
      </c>
      <c r="I15" s="12">
        <v>-1439</v>
      </c>
      <c r="J15" s="12">
        <v>-7530</v>
      </c>
      <c r="K15" s="12">
        <v>-3008</v>
      </c>
      <c r="L15" s="12">
        <v>-50</v>
      </c>
      <c r="M15" s="12">
        <v>-74</v>
      </c>
      <c r="N15" s="12">
        <v>-12677</v>
      </c>
    </row>
    <row r="16" spans="2:14" x14ac:dyDescent="0.45">
      <c r="B16" t="s">
        <v>97</v>
      </c>
      <c r="C16" s="12">
        <v>4</v>
      </c>
      <c r="D16" s="12">
        <v>42</v>
      </c>
      <c r="E16" s="12">
        <v>89</v>
      </c>
      <c r="F16" s="12">
        <v>1965</v>
      </c>
      <c r="G16" s="12">
        <v>2381</v>
      </c>
      <c r="H16" s="12">
        <v>5644</v>
      </c>
      <c r="I16" s="12">
        <v>21</v>
      </c>
      <c r="J16" s="12">
        <v>226</v>
      </c>
      <c r="K16" s="12">
        <v>104</v>
      </c>
      <c r="L16" s="12">
        <v>6895</v>
      </c>
      <c r="M16" s="12">
        <v>10821</v>
      </c>
      <c r="N16" s="12">
        <v>111</v>
      </c>
    </row>
    <row r="17" spans="2:14" x14ac:dyDescent="0.45">
      <c r="B17" t="s">
        <v>98</v>
      </c>
      <c r="C17" s="12">
        <v>653</v>
      </c>
      <c r="D17" s="12">
        <v>698</v>
      </c>
      <c r="E17" s="12">
        <v>731</v>
      </c>
      <c r="F17" s="12">
        <v>638</v>
      </c>
      <c r="G17" s="12">
        <v>690</v>
      </c>
      <c r="H17" s="12">
        <v>761</v>
      </c>
      <c r="I17" s="12">
        <v>1104</v>
      </c>
      <c r="J17" s="12">
        <v>428</v>
      </c>
      <c r="K17" s="12">
        <v>653</v>
      </c>
      <c r="L17" s="12">
        <v>973</v>
      </c>
      <c r="M17" s="12">
        <v>2493</v>
      </c>
      <c r="N17" s="12">
        <v>2420</v>
      </c>
    </row>
    <row r="18" spans="2:14" x14ac:dyDescent="0.45">
      <c r="B18" t="s">
        <v>99</v>
      </c>
      <c r="C18" s="12">
        <v>40</v>
      </c>
      <c r="D18" s="12">
        <v>80</v>
      </c>
      <c r="E18" s="12">
        <v>58</v>
      </c>
      <c r="F18" s="12">
        <v>620</v>
      </c>
      <c r="G18" s="12">
        <v>1797</v>
      </c>
      <c r="H18" s="12">
        <v>232</v>
      </c>
      <c r="I18" s="12">
        <v>21</v>
      </c>
      <c r="J18" s="12">
        <v>18</v>
      </c>
      <c r="K18" s="12">
        <v>32</v>
      </c>
      <c r="L18" s="12">
        <v>46</v>
      </c>
      <c r="M18" s="12">
        <v>47</v>
      </c>
      <c r="N18" s="12">
        <v>64</v>
      </c>
    </row>
    <row r="19" spans="2:14" x14ac:dyDescent="0.45">
      <c r="B19" t="s">
        <v>100</v>
      </c>
      <c r="C19" s="12">
        <v>0</v>
      </c>
      <c r="D19" s="12">
        <v>-160</v>
      </c>
      <c r="E19" s="12">
        <v>0</v>
      </c>
      <c r="F19" s="12">
        <v>-107</v>
      </c>
      <c r="G19" s="12">
        <v>-4</v>
      </c>
      <c r="H19" s="12">
        <v>-9</v>
      </c>
      <c r="I19" s="12">
        <v>-606</v>
      </c>
      <c r="J19" s="12">
        <v>-10</v>
      </c>
      <c r="K19" s="12">
        <v>0</v>
      </c>
      <c r="L19" s="12">
        <v>0</v>
      </c>
      <c r="M19" s="12">
        <v>-150</v>
      </c>
      <c r="N19" s="12">
        <v>0</v>
      </c>
    </row>
    <row r="20" spans="2:14" x14ac:dyDescent="0.45">
      <c r="B20" t="s">
        <v>101</v>
      </c>
      <c r="C20" s="12">
        <v>0</v>
      </c>
      <c r="D20" s="12">
        <v>0</v>
      </c>
      <c r="E20" s="12">
        <v>0</v>
      </c>
      <c r="F20" s="12">
        <v>0</v>
      </c>
      <c r="G20" s="12">
        <v>14</v>
      </c>
      <c r="H20" s="12">
        <v>533</v>
      </c>
      <c r="I20" s="12">
        <v>0</v>
      </c>
      <c r="J20" s="12">
        <v>0</v>
      </c>
      <c r="K20" s="12">
        <v>0</v>
      </c>
      <c r="L20" s="12">
        <v>19</v>
      </c>
      <c r="M20" s="12">
        <v>107</v>
      </c>
      <c r="N20" s="12">
        <v>765</v>
      </c>
    </row>
    <row r="21" spans="2:14" x14ac:dyDescent="0.45">
      <c r="B21" t="s">
        <v>102</v>
      </c>
      <c r="C21" s="12">
        <v>-185</v>
      </c>
      <c r="D21" s="12">
        <v>0</v>
      </c>
      <c r="E21" s="12">
        <v>-111</v>
      </c>
      <c r="F21" s="12">
        <v>0</v>
      </c>
      <c r="G21" s="12">
        <v>0</v>
      </c>
      <c r="H21" s="12">
        <v>-8</v>
      </c>
      <c r="I21" s="12">
        <v>-27</v>
      </c>
      <c r="J21" s="12">
        <v>0</v>
      </c>
      <c r="K21" s="12">
        <v>-98</v>
      </c>
      <c r="L21" s="12">
        <v>0</v>
      </c>
      <c r="M21" s="12">
        <v>0</v>
      </c>
      <c r="N21" s="12">
        <v>-688</v>
      </c>
    </row>
    <row r="22" spans="2:14" x14ac:dyDescent="0.45">
      <c r="B22" t="s">
        <v>103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-25</v>
      </c>
      <c r="N22" s="12">
        <v>-20</v>
      </c>
    </row>
    <row r="23" spans="2:14" x14ac:dyDescent="0.45">
      <c r="B23" t="s">
        <v>104</v>
      </c>
      <c r="C23" s="12">
        <v>-1149</v>
      </c>
      <c r="D23" s="12">
        <v>456</v>
      </c>
      <c r="E23" s="12">
        <v>-1289</v>
      </c>
      <c r="F23" s="12">
        <v>-26663</v>
      </c>
      <c r="G23" s="12">
        <v>5360</v>
      </c>
      <c r="H23" s="12">
        <v>7335</v>
      </c>
      <c r="I23" s="12">
        <v>-2659</v>
      </c>
      <c r="J23" s="12">
        <v>1051</v>
      </c>
      <c r="K23" s="12">
        <v>12813</v>
      </c>
      <c r="L23" s="12">
        <v>-4357</v>
      </c>
      <c r="M23" s="12">
        <v>-4817</v>
      </c>
      <c r="N23" s="12">
        <v>-2889</v>
      </c>
    </row>
    <row r="24" spans="2:14" x14ac:dyDescent="0.45">
      <c r="B24" s="8" t="s">
        <v>119</v>
      </c>
      <c r="C24" s="12">
        <v>-3883</v>
      </c>
      <c r="D24" s="12">
        <v>5201</v>
      </c>
      <c r="E24" s="12">
        <v>-3795</v>
      </c>
      <c r="F24" s="12">
        <v>6205</v>
      </c>
      <c r="G24" s="12">
        <v>2012</v>
      </c>
      <c r="H24" s="12">
        <v>8830</v>
      </c>
      <c r="I24" s="12">
        <v>3390</v>
      </c>
      <c r="J24" s="12">
        <v>9904</v>
      </c>
      <c r="K24" s="12">
        <v>-3380</v>
      </c>
      <c r="L24" s="12">
        <v>-26243</v>
      </c>
      <c r="M24" s="12">
        <v>-37006</v>
      </c>
      <c r="N24" s="12">
        <v>-18786</v>
      </c>
    </row>
    <row r="25" spans="2:14" x14ac:dyDescent="0.45">
      <c r="B25" t="s">
        <v>105</v>
      </c>
      <c r="C25" s="12">
        <v>0</v>
      </c>
      <c r="D25" s="12">
        <v>0</v>
      </c>
      <c r="E25" s="12">
        <v>7433</v>
      </c>
      <c r="F25" s="12">
        <v>5</v>
      </c>
      <c r="G25" s="12">
        <v>0</v>
      </c>
      <c r="H25" s="12">
        <v>0</v>
      </c>
      <c r="I25" s="12">
        <v>3889</v>
      </c>
      <c r="J25" s="12">
        <v>2603</v>
      </c>
      <c r="K25" s="12">
        <v>19</v>
      </c>
      <c r="L25" s="12">
        <v>20</v>
      </c>
      <c r="M25" s="12">
        <v>82</v>
      </c>
      <c r="N25" s="12">
        <v>1108</v>
      </c>
    </row>
    <row r="26" spans="2:14" x14ac:dyDescent="0.45">
      <c r="B26" t="s">
        <v>106</v>
      </c>
      <c r="C26" s="12">
        <v>-658</v>
      </c>
      <c r="D26" s="12">
        <v>-744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</row>
    <row r="27" spans="2:14" x14ac:dyDescent="0.45">
      <c r="B27" t="s">
        <v>107</v>
      </c>
      <c r="C27" s="12">
        <v>33258</v>
      </c>
      <c r="D27" s="12">
        <v>36363</v>
      </c>
      <c r="E27" s="12">
        <v>19519</v>
      </c>
      <c r="F27" s="12">
        <v>33390</v>
      </c>
      <c r="G27" s="12">
        <v>37482</v>
      </c>
      <c r="H27" s="12">
        <v>51128</v>
      </c>
      <c r="I27" s="12">
        <v>38297</v>
      </c>
      <c r="J27" s="12">
        <v>46641</v>
      </c>
      <c r="K27" s="12">
        <v>46578</v>
      </c>
      <c r="L27" s="12">
        <v>43934</v>
      </c>
      <c r="M27" s="12">
        <v>18829</v>
      </c>
      <c r="N27" s="12">
        <v>13384</v>
      </c>
    </row>
    <row r="28" spans="2:14" x14ac:dyDescent="0.45">
      <c r="B28" t="s">
        <v>108</v>
      </c>
      <c r="C28" s="12">
        <v>-29141</v>
      </c>
      <c r="D28" s="12">
        <v>-23332</v>
      </c>
      <c r="E28" s="12">
        <v>-24924</v>
      </c>
      <c r="F28" s="12">
        <v>-21732</v>
      </c>
      <c r="G28" s="12">
        <v>-29964</v>
      </c>
      <c r="H28" s="12">
        <v>-35198</v>
      </c>
      <c r="I28" s="12">
        <v>-29847</v>
      </c>
      <c r="J28" s="12">
        <v>-29709</v>
      </c>
      <c r="K28" s="12">
        <v>-42816</v>
      </c>
      <c r="L28" s="12">
        <v>-62557</v>
      </c>
      <c r="M28" s="12">
        <v>-47414</v>
      </c>
      <c r="N28" s="12">
        <v>-21443</v>
      </c>
    </row>
    <row r="29" spans="2:14" x14ac:dyDescent="0.45">
      <c r="B29" t="s">
        <v>109</v>
      </c>
      <c r="C29" s="12">
        <v>-6171</v>
      </c>
      <c r="D29" s="12">
        <v>-6307</v>
      </c>
      <c r="E29" s="12">
        <v>-5716</v>
      </c>
      <c r="F29" s="12">
        <v>-5336</v>
      </c>
      <c r="G29" s="12">
        <v>-5411</v>
      </c>
      <c r="H29" s="12">
        <v>-7005</v>
      </c>
      <c r="I29" s="12">
        <v>-7518</v>
      </c>
      <c r="J29" s="12">
        <v>-8123</v>
      </c>
      <c r="K29" s="12">
        <v>-9251</v>
      </c>
      <c r="L29" s="12">
        <v>-9336</v>
      </c>
      <c r="M29" s="12">
        <v>-9332</v>
      </c>
      <c r="N29" s="12">
        <v>-5814</v>
      </c>
    </row>
    <row r="30" spans="2:14" x14ac:dyDescent="0.45">
      <c r="B30" t="s">
        <v>110</v>
      </c>
      <c r="C30" s="12">
        <v>-722</v>
      </c>
      <c r="D30" s="12">
        <v>-720</v>
      </c>
      <c r="E30" s="12">
        <v>-108</v>
      </c>
      <c r="F30" s="12">
        <v>-121</v>
      </c>
      <c r="G30" s="12">
        <v>-96</v>
      </c>
      <c r="H30" s="12">
        <v>-95</v>
      </c>
      <c r="I30" s="12">
        <v>-57</v>
      </c>
      <c r="J30" s="12">
        <v>-30</v>
      </c>
      <c r="K30" s="12">
        <v>-100</v>
      </c>
      <c r="L30" s="12">
        <v>-141</v>
      </c>
      <c r="M30" s="12">
        <v>-1059</v>
      </c>
      <c r="N30" s="12">
        <v>-2492</v>
      </c>
    </row>
    <row r="31" spans="2:14" x14ac:dyDescent="0.45">
      <c r="B31" t="s">
        <v>111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-1346</v>
      </c>
      <c r="J31" s="12">
        <v>-1477</v>
      </c>
      <c r="K31" s="12">
        <v>-1559</v>
      </c>
      <c r="L31" s="12">
        <v>-1517</v>
      </c>
      <c r="M31" s="12">
        <v>-1924</v>
      </c>
      <c r="N31" s="12">
        <v>-2393</v>
      </c>
    </row>
    <row r="32" spans="2:14" x14ac:dyDescent="0.45">
      <c r="B32" t="s">
        <v>112</v>
      </c>
      <c r="C32" s="12">
        <v>-450</v>
      </c>
      <c r="D32" s="12">
        <v>-57</v>
      </c>
      <c r="E32" s="12">
        <v>0</v>
      </c>
      <c r="F32" s="12">
        <v>0</v>
      </c>
      <c r="G32" s="12">
        <v>0</v>
      </c>
      <c r="H32" s="12">
        <v>0</v>
      </c>
      <c r="I32" s="12">
        <v>-29</v>
      </c>
      <c r="J32" s="12">
        <v>0</v>
      </c>
      <c r="K32" s="12">
        <v>3750</v>
      </c>
      <c r="L32" s="12">
        <v>3355</v>
      </c>
      <c r="M32" s="12">
        <v>3812</v>
      </c>
      <c r="N32" s="12">
        <v>-1136</v>
      </c>
    </row>
    <row r="33" spans="2:14" x14ac:dyDescent="0.45">
      <c r="B33" t="s">
        <v>114</v>
      </c>
      <c r="C33" s="12">
        <v>4277</v>
      </c>
      <c r="D33" s="12">
        <v>4500</v>
      </c>
      <c r="E33" s="12">
        <v>-2589</v>
      </c>
      <c r="F33" s="12">
        <v>-3167</v>
      </c>
      <c r="G33" s="12">
        <v>730</v>
      </c>
      <c r="H33" s="12">
        <v>6843</v>
      </c>
      <c r="I33" s="12">
        <v>-3092</v>
      </c>
      <c r="J33" s="12">
        <v>13232</v>
      </c>
      <c r="K33" s="12">
        <v>6459</v>
      </c>
      <c r="L33" s="12">
        <v>-6272</v>
      </c>
      <c r="M33" s="12">
        <v>8128</v>
      </c>
      <c r="N33" s="12">
        <v>-5666</v>
      </c>
    </row>
    <row r="34" spans="2:14" x14ac:dyDescent="0.45">
      <c r="B34" t="s">
        <v>115</v>
      </c>
      <c r="C34" s="12">
        <v>9226</v>
      </c>
      <c r="D34" s="12">
        <v>3643</v>
      </c>
      <c r="E34" s="12">
        <v>6455</v>
      </c>
      <c r="F34" s="12">
        <v>14181</v>
      </c>
      <c r="G34" s="12">
        <v>-11191</v>
      </c>
      <c r="H34" s="12">
        <v>-16346</v>
      </c>
      <c r="I34" s="12">
        <v>-2898</v>
      </c>
      <c r="J34" s="12">
        <v>9146</v>
      </c>
      <c r="K34" s="12">
        <v>-655</v>
      </c>
      <c r="L34" s="12">
        <v>16443</v>
      </c>
      <c r="M34" s="12">
        <v>36732</v>
      </c>
      <c r="N34" s="12">
        <v>26034</v>
      </c>
    </row>
    <row r="35" spans="2:14" x14ac:dyDescent="0.45">
      <c r="B35" t="s">
        <v>116</v>
      </c>
      <c r="C35" s="12">
        <v>1.1599999999999999</v>
      </c>
      <c r="D35" s="12">
        <v>1.01</v>
      </c>
      <c r="E35" s="12">
        <v>1.04</v>
      </c>
      <c r="F35" s="12">
        <v>1.08</v>
      </c>
      <c r="G35" s="12">
        <v>0.85</v>
      </c>
      <c r="H35" s="12">
        <v>0.87</v>
      </c>
      <c r="I35" s="12">
        <v>1.58</v>
      </c>
      <c r="J35" s="12">
        <v>0.96</v>
      </c>
      <c r="K35" s="12">
        <v>0.66</v>
      </c>
      <c r="L35" s="12">
        <v>1.21</v>
      </c>
      <c r="M35" s="12">
        <v>1.25</v>
      </c>
      <c r="N35" s="12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Financials&gt;</vt:lpstr>
      <vt:lpstr>Historical FS</vt:lpstr>
      <vt:lpstr>Ratio Analysis</vt:lpstr>
      <vt:lpstr>Forecasting</vt:lpstr>
      <vt:lpstr>Data&gt;</vt:lpstr>
      <vt:lpstr>Data Sheet</vt:lpstr>
      <vt:lpstr>Cash Flow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P</dc:creator>
  <cp:lastModifiedBy>Y P</cp:lastModifiedBy>
  <dcterms:created xsi:type="dcterms:W3CDTF">2026-04-02T07:56:43Z</dcterms:created>
  <dcterms:modified xsi:type="dcterms:W3CDTF">2026-04-14T10:37:21Z</dcterms:modified>
</cp:coreProperties>
</file>