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_PATIL\EXCEL_Financial_Modelling\"/>
    </mc:Choice>
  </mc:AlternateContent>
  <xr:revisionPtr revIDLastSave="0" documentId="8_{FAE2772A-B979-43EB-A4FF-A49EA6E700E2}" xr6:coauthVersionLast="47" xr6:coauthVersionMax="47" xr10:uidLastSave="{00000000-0000-0000-0000-000000000000}"/>
  <bookViews>
    <workbookView xWindow="-98" yWindow="-98" windowWidth="19396" windowHeight="11475" activeTab="1" xr2:uid="{F33051D4-8431-4A28-8577-061081F9C440}"/>
  </bookViews>
  <sheets>
    <sheet name="Financials&gt;" sheetId="2" r:id="rId1"/>
    <sheet name="Historical FS" sheetId="3" r:id="rId2"/>
    <sheet name="Data&gt;" sheetId="4" r:id="rId3"/>
    <sheet name="Data Sheet" sheetId="1" r:id="rId4"/>
    <sheet name="Cash Flow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3" l="1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L98" i="3"/>
  <c r="C99" i="3"/>
  <c r="D99" i="3"/>
  <c r="E99" i="3"/>
  <c r="F99" i="3"/>
  <c r="G99" i="3"/>
  <c r="H99" i="3"/>
  <c r="I99" i="3"/>
  <c r="J99" i="3"/>
  <c r="K99" i="3"/>
  <c r="L99" i="3"/>
  <c r="C100" i="3"/>
  <c r="D100" i="3"/>
  <c r="E100" i="3"/>
  <c r="F100" i="3"/>
  <c r="G100" i="3"/>
  <c r="H100" i="3"/>
  <c r="I100" i="3"/>
  <c r="J100" i="3"/>
  <c r="K100" i="3"/>
  <c r="L100" i="3"/>
  <c r="C101" i="3"/>
  <c r="D101" i="3"/>
  <c r="E101" i="3"/>
  <c r="F101" i="3"/>
  <c r="G101" i="3"/>
  <c r="H101" i="3"/>
  <c r="I101" i="3"/>
  <c r="J101" i="3"/>
  <c r="K101" i="3"/>
  <c r="L101" i="3"/>
  <c r="D95" i="3"/>
  <c r="E95" i="3"/>
  <c r="F95" i="3"/>
  <c r="G95" i="3"/>
  <c r="H95" i="3"/>
  <c r="I95" i="3"/>
  <c r="J95" i="3"/>
  <c r="K95" i="3"/>
  <c r="L95" i="3"/>
  <c r="C95" i="3"/>
  <c r="C82" i="3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D81" i="3"/>
  <c r="E81" i="3"/>
  <c r="F81" i="3"/>
  <c r="G81" i="3"/>
  <c r="H81" i="3"/>
  <c r="I81" i="3"/>
  <c r="J81" i="3"/>
  <c r="K81" i="3"/>
  <c r="L81" i="3"/>
  <c r="C81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D70" i="3"/>
  <c r="E70" i="3"/>
  <c r="F70" i="3"/>
  <c r="G70" i="3"/>
  <c r="H70" i="3"/>
  <c r="I70" i="3"/>
  <c r="J70" i="3"/>
  <c r="K70" i="3"/>
  <c r="L70" i="3"/>
  <c r="C70" i="3"/>
  <c r="C6" i="3" l="1"/>
  <c r="L56" i="3"/>
  <c r="K56" i="3"/>
  <c r="J56" i="3"/>
  <c r="I56" i="3"/>
  <c r="H56" i="3"/>
  <c r="G56" i="3"/>
  <c r="F56" i="3"/>
  <c r="E56" i="3"/>
  <c r="D56" i="3"/>
  <c r="C56" i="3"/>
  <c r="J62" i="3"/>
  <c r="D59" i="3"/>
  <c r="D62" i="3" s="1"/>
  <c r="D64" i="3" s="1"/>
  <c r="D66" i="3" s="1"/>
  <c r="E59" i="3"/>
  <c r="E62" i="3" s="1"/>
  <c r="F59" i="3"/>
  <c r="G59" i="3"/>
  <c r="H59" i="3"/>
  <c r="H62" i="3" s="1"/>
  <c r="H64" i="3" s="1"/>
  <c r="H66" i="3" s="1"/>
  <c r="I59" i="3"/>
  <c r="I62" i="3" s="1"/>
  <c r="J59" i="3"/>
  <c r="K59" i="3"/>
  <c r="K62" i="3" s="1"/>
  <c r="L59" i="3"/>
  <c r="L62" i="3" s="1"/>
  <c r="D60" i="3"/>
  <c r="E60" i="3"/>
  <c r="F60" i="3"/>
  <c r="G60" i="3"/>
  <c r="G62" i="3" s="1"/>
  <c r="G64" i="3" s="1"/>
  <c r="G66" i="3" s="1"/>
  <c r="H60" i="3"/>
  <c r="I60" i="3"/>
  <c r="J60" i="3"/>
  <c r="K60" i="3"/>
  <c r="L60" i="3"/>
  <c r="D61" i="3"/>
  <c r="E61" i="3"/>
  <c r="F61" i="3"/>
  <c r="F62" i="3" s="1"/>
  <c r="G61" i="3"/>
  <c r="H61" i="3"/>
  <c r="I61" i="3"/>
  <c r="J61" i="3"/>
  <c r="K61" i="3"/>
  <c r="L61" i="3"/>
  <c r="C60" i="3"/>
  <c r="C61" i="3"/>
  <c r="C59" i="3"/>
  <c r="C62" i="3" s="1"/>
  <c r="L55" i="3"/>
  <c r="K55" i="3"/>
  <c r="J55" i="3"/>
  <c r="I55" i="3"/>
  <c r="H55" i="3"/>
  <c r="G55" i="3"/>
  <c r="F55" i="3"/>
  <c r="F57" i="3" s="1"/>
  <c r="E55" i="3"/>
  <c r="E57" i="3" s="1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L57" i="3" s="1"/>
  <c r="K53" i="3"/>
  <c r="K57" i="3" s="1"/>
  <c r="J53" i="3"/>
  <c r="J57" i="3" s="1"/>
  <c r="I53" i="3"/>
  <c r="I57" i="3" s="1"/>
  <c r="H53" i="3"/>
  <c r="H57" i="3" s="1"/>
  <c r="G53" i="3"/>
  <c r="G57" i="3" s="1"/>
  <c r="F53" i="3"/>
  <c r="E53" i="3"/>
  <c r="D53" i="3"/>
  <c r="D57" i="3" s="1"/>
  <c r="C53" i="3"/>
  <c r="C57" i="3" s="1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D47" i="3"/>
  <c r="E47" i="3"/>
  <c r="F47" i="3"/>
  <c r="G47" i="3"/>
  <c r="H47" i="3"/>
  <c r="I47" i="3"/>
  <c r="J47" i="3"/>
  <c r="K47" i="3"/>
  <c r="L47" i="3"/>
  <c r="C47" i="3"/>
  <c r="M36" i="3"/>
  <c r="M41" i="3" s="1"/>
  <c r="L36" i="3"/>
  <c r="L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3" i="3"/>
  <c r="M30" i="3"/>
  <c r="L30" i="3"/>
  <c r="K30" i="3"/>
  <c r="J30" i="3"/>
  <c r="I30" i="3"/>
  <c r="H30" i="3"/>
  <c r="G30" i="3"/>
  <c r="F30" i="3"/>
  <c r="E30" i="3"/>
  <c r="D30" i="3"/>
  <c r="C30" i="3"/>
  <c r="M27" i="3"/>
  <c r="M28" i="3" s="1"/>
  <c r="M24" i="3"/>
  <c r="L24" i="3"/>
  <c r="K24" i="3"/>
  <c r="J24" i="3"/>
  <c r="I24" i="3"/>
  <c r="H24" i="3"/>
  <c r="G24" i="3"/>
  <c r="F24" i="3"/>
  <c r="E24" i="3"/>
  <c r="D24" i="3"/>
  <c r="C24" i="3"/>
  <c r="M21" i="3"/>
  <c r="L21" i="3"/>
  <c r="K21" i="3"/>
  <c r="J21" i="3"/>
  <c r="I21" i="3"/>
  <c r="H21" i="3"/>
  <c r="G21" i="3"/>
  <c r="F21" i="3"/>
  <c r="E21" i="3"/>
  <c r="D21" i="3"/>
  <c r="C21" i="3"/>
  <c r="D15" i="3"/>
  <c r="E15" i="3"/>
  <c r="F15" i="3"/>
  <c r="G15" i="3"/>
  <c r="H15" i="3"/>
  <c r="I15" i="3"/>
  <c r="J15" i="3"/>
  <c r="K15" i="3"/>
  <c r="L15" i="3"/>
  <c r="M15" i="3"/>
  <c r="C15" i="3"/>
  <c r="M9" i="3"/>
  <c r="M10" i="3"/>
  <c r="D9" i="3"/>
  <c r="E9" i="3"/>
  <c r="F9" i="3"/>
  <c r="G9" i="3"/>
  <c r="H9" i="3"/>
  <c r="I9" i="3"/>
  <c r="J9" i="3"/>
  <c r="K9" i="3"/>
  <c r="L9" i="3"/>
  <c r="C9" i="3"/>
  <c r="M6" i="3"/>
  <c r="M12" i="3" s="1"/>
  <c r="M13" i="3" s="1"/>
  <c r="F78" i="3" l="1"/>
  <c r="G78" i="3"/>
  <c r="D103" i="3"/>
  <c r="J103" i="3"/>
  <c r="G92" i="3"/>
  <c r="E78" i="3"/>
  <c r="C92" i="3"/>
  <c r="D78" i="3"/>
  <c r="L92" i="3"/>
  <c r="I103" i="3"/>
  <c r="K92" i="3"/>
  <c r="C103" i="3"/>
  <c r="C78" i="3"/>
  <c r="J92" i="3"/>
  <c r="L103" i="3"/>
  <c r="I92" i="3"/>
  <c r="K103" i="3"/>
  <c r="L78" i="3"/>
  <c r="H92" i="3"/>
  <c r="K78" i="3"/>
  <c r="J78" i="3"/>
  <c r="F92" i="3"/>
  <c r="H103" i="3"/>
  <c r="I78" i="3"/>
  <c r="H78" i="3"/>
  <c r="E92" i="3"/>
  <c r="D92" i="3"/>
  <c r="G103" i="3"/>
  <c r="F103" i="3"/>
  <c r="E103" i="3"/>
  <c r="J64" i="3"/>
  <c r="J66" i="3" s="1"/>
  <c r="F64" i="3"/>
  <c r="F66" i="3" s="1"/>
  <c r="E64" i="3"/>
  <c r="E66" i="3" s="1"/>
  <c r="L64" i="3"/>
  <c r="L66" i="3" s="1"/>
  <c r="K64" i="3"/>
  <c r="K66" i="3" s="1"/>
  <c r="C64" i="3"/>
  <c r="C66" i="3" s="1"/>
  <c r="I64" i="3"/>
  <c r="I66" i="3" s="1"/>
  <c r="M22" i="3"/>
  <c r="M31" i="3"/>
  <c r="M34" i="3"/>
  <c r="M38" i="3"/>
  <c r="M16" i="3"/>
  <c r="M25" i="3"/>
  <c r="M19" i="3"/>
  <c r="L105" i="3" l="1"/>
  <c r="D105" i="3"/>
  <c r="E105" i="3"/>
  <c r="J105" i="3"/>
  <c r="C105" i="3"/>
  <c r="H105" i="3"/>
  <c r="F105" i="3"/>
  <c r="K105" i="3"/>
  <c r="G105" i="3"/>
  <c r="I105" i="3"/>
  <c r="M44" i="3"/>
  <c r="L6" i="3" l="1"/>
  <c r="K6" i="3"/>
  <c r="J6" i="3"/>
  <c r="I6" i="3"/>
  <c r="H6" i="3"/>
  <c r="G6" i="3"/>
  <c r="F6" i="3"/>
  <c r="E6" i="3"/>
  <c r="D6" i="3"/>
  <c r="K3" i="3"/>
  <c r="L3" i="3"/>
  <c r="D3" i="3"/>
  <c r="E3" i="3"/>
  <c r="F3" i="3"/>
  <c r="G3" i="3"/>
  <c r="H3" i="3"/>
  <c r="I3" i="3"/>
  <c r="J3" i="3"/>
  <c r="C3" i="3"/>
  <c r="B2" i="3"/>
  <c r="B6" i="1"/>
  <c r="E1" i="1"/>
  <c r="F10" i="3" l="1"/>
  <c r="F22" i="3"/>
  <c r="F12" i="3"/>
  <c r="F7" i="3"/>
  <c r="F25" i="3"/>
  <c r="F16" i="3"/>
  <c r="G22" i="3"/>
  <c r="G10" i="3"/>
  <c r="G7" i="3"/>
  <c r="G25" i="3"/>
  <c r="G12" i="3"/>
  <c r="G16" i="3"/>
  <c r="H22" i="3"/>
  <c r="H7" i="3"/>
  <c r="H25" i="3"/>
  <c r="H10" i="3"/>
  <c r="H12" i="3"/>
  <c r="H16" i="3"/>
  <c r="I22" i="3"/>
  <c r="I7" i="3"/>
  <c r="I25" i="3"/>
  <c r="I10" i="3"/>
  <c r="I12" i="3"/>
  <c r="I16" i="3"/>
  <c r="J7" i="3"/>
  <c r="J25" i="3"/>
  <c r="J10" i="3"/>
  <c r="J22" i="3"/>
  <c r="J12" i="3"/>
  <c r="J16" i="3"/>
  <c r="K7" i="3"/>
  <c r="K25" i="3"/>
  <c r="K10" i="3"/>
  <c r="K12" i="3"/>
  <c r="K22" i="3"/>
  <c r="K16" i="3"/>
  <c r="L7" i="3"/>
  <c r="L25" i="3"/>
  <c r="L10" i="3"/>
  <c r="L22" i="3"/>
  <c r="L12" i="3"/>
  <c r="M7" i="3"/>
  <c r="L16" i="3"/>
  <c r="C22" i="3"/>
  <c r="C25" i="3"/>
  <c r="C12" i="3"/>
  <c r="C10" i="3"/>
  <c r="C16" i="3"/>
  <c r="D12" i="3"/>
  <c r="D22" i="3"/>
  <c r="D7" i="3"/>
  <c r="D25" i="3"/>
  <c r="D16" i="3"/>
  <c r="D10" i="3"/>
  <c r="E10" i="3"/>
  <c r="E12" i="3"/>
  <c r="E22" i="3"/>
  <c r="E7" i="3"/>
  <c r="E25" i="3"/>
  <c r="E16" i="3"/>
  <c r="F18" i="3" l="1"/>
  <c r="F13" i="3"/>
  <c r="I18" i="3"/>
  <c r="I13" i="3"/>
  <c r="G18" i="3"/>
  <c r="G13" i="3"/>
  <c r="C18" i="3"/>
  <c r="C13" i="3"/>
  <c r="K18" i="3"/>
  <c r="K13" i="3"/>
  <c r="E18" i="3"/>
  <c r="E13" i="3"/>
  <c r="L18" i="3"/>
  <c r="L13" i="3"/>
  <c r="J18" i="3"/>
  <c r="J13" i="3"/>
  <c r="H18" i="3"/>
  <c r="H13" i="3"/>
  <c r="D18" i="3"/>
  <c r="D13" i="3"/>
  <c r="E19" i="3" l="1"/>
  <c r="E27" i="3"/>
  <c r="K19" i="3"/>
  <c r="K27" i="3"/>
  <c r="D19" i="3"/>
  <c r="D27" i="3"/>
  <c r="C19" i="3"/>
  <c r="C27" i="3"/>
  <c r="H19" i="3"/>
  <c r="H27" i="3"/>
  <c r="G19" i="3"/>
  <c r="G27" i="3"/>
  <c r="J19" i="3"/>
  <c r="J27" i="3"/>
  <c r="I19" i="3"/>
  <c r="I27" i="3"/>
  <c r="L19" i="3"/>
  <c r="L27" i="3"/>
  <c r="F19" i="3"/>
  <c r="F27" i="3"/>
  <c r="G28" i="3" l="1"/>
  <c r="G31" i="3"/>
  <c r="G33" i="3"/>
  <c r="H28" i="3"/>
  <c r="H31" i="3"/>
  <c r="H33" i="3"/>
  <c r="C28" i="3"/>
  <c r="C31" i="3"/>
  <c r="C33" i="3"/>
  <c r="D31" i="3"/>
  <c r="D28" i="3"/>
  <c r="D33" i="3"/>
  <c r="F31" i="3"/>
  <c r="F28" i="3"/>
  <c r="F33" i="3"/>
  <c r="L33" i="3"/>
  <c r="L31" i="3"/>
  <c r="L28" i="3"/>
  <c r="I28" i="3"/>
  <c r="I31" i="3"/>
  <c r="I33" i="3"/>
  <c r="K28" i="3"/>
  <c r="K33" i="3"/>
  <c r="K31" i="3"/>
  <c r="J28" i="3"/>
  <c r="J33" i="3"/>
  <c r="J31" i="3"/>
  <c r="E31" i="3"/>
  <c r="E28" i="3"/>
  <c r="E33" i="3"/>
  <c r="K34" i="3" l="1"/>
  <c r="K38" i="3"/>
  <c r="I38" i="3"/>
  <c r="I34" i="3"/>
  <c r="E34" i="3"/>
  <c r="E38" i="3"/>
  <c r="L34" i="3"/>
  <c r="L38" i="3"/>
  <c r="F34" i="3"/>
  <c r="F38" i="3"/>
  <c r="G34" i="3"/>
  <c r="G38" i="3"/>
  <c r="D34" i="3"/>
  <c r="D38" i="3"/>
  <c r="C38" i="3"/>
  <c r="C34" i="3"/>
  <c r="H34" i="3"/>
  <c r="H38" i="3"/>
  <c r="J34" i="3"/>
  <c r="J38" i="3"/>
  <c r="G42" i="3" l="1"/>
  <c r="G44" i="3" s="1"/>
  <c r="G39" i="3"/>
  <c r="F42" i="3"/>
  <c r="F44" i="3"/>
  <c r="F39" i="3"/>
  <c r="J44" i="3"/>
  <c r="J42" i="3"/>
  <c r="J39" i="3"/>
  <c r="L42" i="3"/>
  <c r="L39" i="3"/>
  <c r="L44" i="3"/>
  <c r="M39" i="3"/>
  <c r="H44" i="3"/>
  <c r="H39" i="3"/>
  <c r="H42" i="3"/>
  <c r="E39" i="3"/>
  <c r="E42" i="3"/>
  <c r="E44" i="3" s="1"/>
  <c r="C42" i="3"/>
  <c r="C39" i="3"/>
  <c r="C44" i="3"/>
  <c r="I39" i="3"/>
  <c r="I42" i="3"/>
  <c r="I44" i="3"/>
  <c r="D39" i="3"/>
  <c r="D42" i="3"/>
  <c r="D44" i="3" s="1"/>
  <c r="K39" i="3"/>
  <c r="K42" i="3"/>
  <c r="K44" i="3" s="1"/>
</calcChain>
</file>

<file path=xl/sharedStrings.xml><?xml version="1.0" encoding="utf-8"?>
<sst xmlns="http://schemas.openxmlformats.org/spreadsheetml/2006/main" count="178" uniqueCount="121">
  <si>
    <t>COMPANY NAME</t>
  </si>
  <si>
    <t>ITC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</si>
  <si>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</si>
  <si>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</si>
  <si>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</si>
  <si>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</si>
  <si>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</si>
  <si>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</si>
  <si>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</si>
  <si>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</si>
  <si>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</si>
  <si>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</si>
  <si>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</si>
  <si>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</si>
  <si>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</si>
  <si>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</si>
  <si>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</si>
  <si>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</si>
  <si>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</si>
  <si>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</si>
  <si>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</si>
  <si>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</si>
  <si>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</si>
  <si>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</si>
  <si>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</si>
  <si>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</si>
  <si>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</si>
  <si>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</si>
  <si>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</si>
  <si>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</si>
  <si>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</si>
  <si>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</si>
  <si>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</si>
  <si>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</si>
  <si>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</si>
  <si>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</si>
  <si>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</si>
  <si>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</si>
  <si>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</si>
  <si>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</si>
  <si>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</si>
  <si>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</si>
  <si>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</si>
  <si>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</si>
  <si>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</si>
  <si>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</si>
  <si>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</si>
  <si>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</si>
  <si>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</si>
  <si>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</si>
  <si>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</si>
  <si>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</si>
  <si>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</si>
  <si>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</si>
  <si>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</si>
  <si>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</si>
  <si>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</si>
  <si>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</si>
  <si>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</si>
  <si>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</si>
  <si>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</si>
  <si>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</si>
  <si>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</si>
  <si>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</si>
  <si>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Expenses % Sales</t>
  </si>
  <si>
    <t>EBITDA</t>
  </si>
  <si>
    <t>EBITDA Margins</t>
  </si>
  <si>
    <t>Interest % Sales</t>
  </si>
  <si>
    <t>Depriciation</t>
  </si>
  <si>
    <t>Depriciation % Sales</t>
  </si>
  <si>
    <t>Gross Margins</t>
  </si>
  <si>
    <t>Earnings Before Tax EBT</t>
  </si>
  <si>
    <t>EBT % Sales</t>
  </si>
  <si>
    <t>Effective Tax Rate</t>
  </si>
  <si>
    <t>Net Profit</t>
  </si>
  <si>
    <t>Net Margins</t>
  </si>
  <si>
    <t>Earning Per Share EPS</t>
  </si>
  <si>
    <t>Dividend Per Share DPS</t>
  </si>
  <si>
    <t>EPS Growth %</t>
  </si>
  <si>
    <t>Dividend Payout Ratio</t>
  </si>
  <si>
    <t>Retained Earnings</t>
  </si>
  <si>
    <t>Balance Sheet</t>
  </si>
  <si>
    <t>Total Liabilities</t>
  </si>
  <si>
    <t>Fixed Assests Net Block</t>
  </si>
  <si>
    <t>Total Assests</t>
  </si>
  <si>
    <t>Total Non Current Assests</t>
  </si>
  <si>
    <t>Total Current Assests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</si>
  <si>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</si>
  <si>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</si>
  <si>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</si>
  <si>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</si>
  <si>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</si>
  <si>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</si>
  <si>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</si>
  <si>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</si>
  <si>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</si>
  <si>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</si>
  <si>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</si>
  <si>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</si>
  <si>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</si>
  <si>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</si>
  <si>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</si>
  <si>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</si>
  <si>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</si>
  <si>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</si>
  <si>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</si>
  <si>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</si>
  <si>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</si>
  <si>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</si>
  <si>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Cash from Operating Activities</t>
  </si>
  <si>
    <t>Cash from Investing Activities</t>
  </si>
  <si>
    <t>Operating Activities</t>
  </si>
  <si>
    <t>Investing Activities</t>
  </si>
  <si>
    <t>Financing Activities</t>
  </si>
  <si>
    <t>Cash From Financing Activities</t>
  </si>
  <si>
    <t>Cash from Operating Activity -</t>
  </si>
  <si>
    <t>Cash from Investing Activity -</t>
  </si>
  <si>
    <t>Invest in subsidiaries</t>
  </si>
  <si>
    <t>Cash from Financing Activity -</t>
  </si>
  <si>
    <t>Free Cash Flow</t>
  </si>
  <si>
    <t>CFO/OP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</si>
</sst>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2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2" applyNumberFormat="1" applyFont="1"/>
    <xf numFmtId="0" fontId="12" fillId="4" borderId="0" xfId="0" applyFont="1" applyFill="1"/>
    <xf numFmtId="17" fontId="12" fillId="4" borderId="0" xfId="0" applyNumberFormat="1" applyFont="1" applyFill="1"/>
    <xf numFmtId="17" fontId="12" fillId="4" borderId="0" xfId="0" applyNumberFormat="1" applyFont="1" applyFill="1" applyAlignment="1">
      <alignment horizontal="right"/>
    </xf>
    <xf numFmtId="0" fontId="13" fillId="4" borderId="0" xfId="0" applyFont="1" applyFill="1"/>
    <xf numFmtId="0" fontId="3" fillId="6" borderId="0" xfId="0" applyFont="1" applyFill="1"/>
    <xf numFmtId="0" fontId="0" fillId="6" borderId="0" xfId="0" applyFill="1"/>
    <xf numFmtId="166" fontId="0" fillId="0" borderId="0" xfId="0" applyNumberFormat="1" applyAlignment="1">
      <alignment horizontal="right"/>
    </xf>
    <xf numFmtId="10" fontId="11" fillId="0" borderId="0" xfId="2" applyNumberFormat="1" applyFont="1" applyAlignment="1">
      <alignment horizontal="right"/>
    </xf>
    <xf numFmtId="166" fontId="3" fillId="0" borderId="0" xfId="0" applyNumberFormat="1" applyFont="1"/>
    <xf numFmtId="43" fontId="7" fillId="0" borderId="1" xfId="1" applyFont="1" applyBorder="1"/>
    <xf numFmtId="166" fontId="3" fillId="0" borderId="1" xfId="0" applyNumberFormat="1" applyFont="1" applyBorder="1"/>
    <xf numFmtId="43" fontId="3" fillId="0" borderId="1" xfId="1" applyFont="1" applyFill="1" applyBorder="1"/>
    <xf numFmtId="43" fontId="3" fillId="0" borderId="2" xfId="1" applyFont="1" applyFill="1" applyBorder="1"/>
    <xf numFmtId="166" fontId="3" fillId="0" borderId="2" xfId="0" applyNumberFormat="1" applyFont="1" applyBorder="1"/>
    <xf numFmtId="3" fontId="0" fillId="0" borderId="0" xfId="0" applyNumberFormat="1"/>
    <xf numFmtId="9" fontId="0" fillId="0" borderId="0" xfId="0" applyNumberFormat="1"/>
    <xf numFmtId="0" fontId="10" fillId="0" borderId="0" xfId="0" applyFont="1"/>
    <xf numFmtId="0" fontId="3" fillId="0" borderId="1" xfId="0" applyFont="1" applyBorder="1"/>
    <xf numFmtId="17" fontId="0" fillId="0" borderId="0" xfId="0" applyNumberFormat="1"/>
    <xf numFmtId="17" fontId="3" fillId="7" borderId="0" xfId="0" applyNumberFormat="1" applyFont="1" applyFill="1"/>
    <xf numFmtId="0" fontId="0" fillId="0" borderId="1" xfId="0" applyBorder="1"/>
    <xf numFmtId="0" fontId="3" fillId="0" borderId="3" xfId="0" applyFont="1" applyBorder="1"/>
    <xf numFmtId="166" fontId="3" fillId="0" borderId="3" xfId="0" applyNumberFormat="1" applyFont="1" applyBorder="1"/>
    <xf numFmtId="0" fontId="2" fillId="5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219-31B1-4F75-8559-F97AEB8495B0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6CB6-D5BD-4106-BF3E-F370A3DF6D4B}">
  <dimension ref="A2:M105"/>
  <sheetViews>
    <sheetView showGridLines="0" tabSelected="1" zoomScaleNormal="100" workbookViewId="0">
      <pane xSplit="2" ySplit="3" topLeftCell="C86" activePane="bottomRight" state="frozen"/>
      <selection pane="topRight" activeCell="C1" sqref="C1"/>
      <selection pane="bottomLeft" activeCell="A4" sqref="A4"/>
      <selection pane="bottomRight" activeCell="I103" sqref="I103"/>
    </sheetView>
  </sheetViews>
  <sheetFormatPr defaultRowHeight="14.25" x14ac:dyDescent="0.45"/>
  <cols>
    <col min="1" max="1" width="1.73046875" customWidth="1"/>
    <col min="2" max="2" width="25.73046875" bestFit="1" customWidth="1"/>
    <col min="3" max="13" width="12.59765625" customWidth="1"/>
    <col min="14" max="15" width="10.59765625" customWidth="1"/>
  </cols>
  <sheetData>
    <row r="2" spans="1:13" x14ac:dyDescent="0.45">
      <c r="A2" s="9"/>
      <c r="B2" s="41" t="str">
        <f>"Historical Financial Statement - "&amp;'Data Sheet'!B1</f>
        <v>Historical Financial Statement - ITC LTD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45">
      <c r="A3" s="9"/>
      <c r="B3" s="10" t="s">
        <v>54</v>
      </c>
      <c r="C3" s="11">
        <f>'Data Sheet'!B16</f>
        <v>42460</v>
      </c>
      <c r="D3" s="11">
        <f>'Data Sheet'!C16</f>
        <v>42825</v>
      </c>
      <c r="E3" s="11">
        <f>'Data Sheet'!D16</f>
        <v>43190</v>
      </c>
      <c r="F3" s="11">
        <f>'Data Sheet'!E16</f>
        <v>43555</v>
      </c>
      <c r="G3" s="11">
        <f>'Data Sheet'!F16</f>
        <v>43921</v>
      </c>
      <c r="H3" s="11">
        <f>'Data Sheet'!G16</f>
        <v>44286</v>
      </c>
      <c r="I3" s="11">
        <f>'Data Sheet'!H16</f>
        <v>44651</v>
      </c>
      <c r="J3" s="11">
        <f>'Data Sheet'!I16</f>
        <v>45016</v>
      </c>
      <c r="K3" s="11">
        <f>'Data Sheet'!J16</f>
        <v>45382</v>
      </c>
      <c r="L3" s="11">
        <f>'Data Sheet'!K16</f>
        <v>45747</v>
      </c>
      <c r="M3" s="12" t="s">
        <v>55</v>
      </c>
    </row>
    <row r="4" spans="1:13" s="21" customFormat="1" x14ac:dyDescent="0.4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45">
      <c r="A5" t="s">
        <v>57</v>
      </c>
      <c r="B5" s="22" t="s">
        <v>56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x14ac:dyDescent="0.45">
      <c r="B6" t="s">
        <v>12</v>
      </c>
      <c r="C6" s="13">
        <f>IFERROR('Data Sheet'!B17,0)</f>
        <v>39192.1</v>
      </c>
      <c r="D6" s="13">
        <f>IFERROR('Data Sheet'!C17,0)</f>
        <v>42767.6</v>
      </c>
      <c r="E6" s="13">
        <f>IFERROR('Data Sheet'!D17,0)</f>
        <v>43448.94</v>
      </c>
      <c r="F6" s="13">
        <f>IFERROR('Data Sheet'!E17,0)</f>
        <v>48339.58</v>
      </c>
      <c r="G6" s="13">
        <f>IFERROR('Data Sheet'!F17,0)</f>
        <v>49387.7</v>
      </c>
      <c r="H6" s="13">
        <f>IFERROR('Data Sheet'!G17,0)</f>
        <v>49257.45</v>
      </c>
      <c r="I6" s="13">
        <f>IFERROR('Data Sheet'!H17,0)</f>
        <v>60644.54</v>
      </c>
      <c r="J6" s="13">
        <f>IFERROR('Data Sheet'!I17,0)</f>
        <v>70919.03</v>
      </c>
      <c r="K6" s="13">
        <f>IFERROR('Data Sheet'!J17,0)</f>
        <v>67931.94</v>
      </c>
      <c r="L6" s="13">
        <f>IFERROR('Data Sheet'!K17,0)</f>
        <v>75323.34</v>
      </c>
      <c r="M6" s="13">
        <f>IFERROR(SUM('Data Sheet'!H42:K42),0)</f>
        <v>79808.72</v>
      </c>
    </row>
    <row r="7" spans="1:13" x14ac:dyDescent="0.45">
      <c r="B7" s="15" t="s">
        <v>58</v>
      </c>
      <c r="C7" s="16" t="s">
        <v>59</v>
      </c>
      <c r="D7" s="17">
        <f>D6/C6-1</f>
        <v>9.1230120355888067E-2</v>
      </c>
      <c r="E7" s="17">
        <f t="shared" ref="E7:M7" si="0">E6/D6-1</f>
        <v>1.5931218960147486E-2</v>
      </c>
      <c r="F7" s="17">
        <f t="shared" si="0"/>
        <v>0.11256062863673999</v>
      </c>
      <c r="G7" s="17">
        <f t="shared" si="0"/>
        <v>2.1682439110972673E-2</v>
      </c>
      <c r="H7" s="17">
        <f t="shared" si="0"/>
        <v>-2.6372963308678443E-3</v>
      </c>
      <c r="I7" s="17">
        <f t="shared" si="0"/>
        <v>0.23117497962237188</v>
      </c>
      <c r="J7" s="17">
        <f t="shared" si="0"/>
        <v>0.1694215175842706</v>
      </c>
      <c r="K7" s="17">
        <f t="shared" si="0"/>
        <v>-4.2119724423754779E-2</v>
      </c>
      <c r="L7" s="17">
        <f t="shared" si="0"/>
        <v>0.10880596078957838</v>
      </c>
      <c r="M7" s="17">
        <f t="shared" si="0"/>
        <v>5.9548341855260256E-2</v>
      </c>
    </row>
    <row r="9" spans="1:13" x14ac:dyDescent="0.45">
      <c r="B9" t="s">
        <v>60</v>
      </c>
      <c r="C9" s="13">
        <f>IFERROR(SUM('Data Sheet'!B18,'Data Sheet'!B20:B22)-1*'Data Sheet'!B19,0)</f>
        <v>19162.939999999999</v>
      </c>
      <c r="D9" s="13">
        <f>IFERROR(SUM('Data Sheet'!C18,'Data Sheet'!C20:C22)-1*'Data Sheet'!C19,0)</f>
        <v>21949.119999999999</v>
      </c>
      <c r="E9" s="13">
        <f>IFERROR(SUM('Data Sheet'!D18,'Data Sheet'!D20:D22)-1*'Data Sheet'!D19,0)</f>
        <v>21967.5</v>
      </c>
      <c r="F9" s="13">
        <f>IFERROR(SUM('Data Sheet'!E18,'Data Sheet'!E20:E22)-1*'Data Sheet'!E19,0)</f>
        <v>24215.95</v>
      </c>
      <c r="G9" s="13">
        <f>IFERROR(SUM('Data Sheet'!F18,'Data Sheet'!F20:F22)-1*'Data Sheet'!F19,0)</f>
        <v>24330.399999999998</v>
      </c>
      <c r="H9" s="13">
        <f>IFERROR(SUM('Data Sheet'!G18,'Data Sheet'!G20:G22)-1*'Data Sheet'!G19,0)</f>
        <v>26881.51</v>
      </c>
      <c r="I9" s="13">
        <f>IFERROR(SUM('Data Sheet'!H18,'Data Sheet'!H20:H22)-1*'Data Sheet'!H19,0)</f>
        <v>34053.060000000005</v>
      </c>
      <c r="J9" s="13">
        <f>IFERROR(SUM('Data Sheet'!I18,'Data Sheet'!I20:I22)-1*'Data Sheet'!I19,0)</f>
        <v>38302.130000000005</v>
      </c>
      <c r="K9" s="13">
        <f>IFERROR(SUM('Data Sheet'!J18,'Data Sheet'!J20:J22)-1*'Data Sheet'!J19,0)</f>
        <v>35665.990000000005</v>
      </c>
      <c r="L9" s="13">
        <f>IFERROR(SUM('Data Sheet'!K18,'Data Sheet'!K20:K22)-1*'Data Sheet'!K19,0)</f>
        <v>41469.21</v>
      </c>
      <c r="M9" s="13">
        <f>IFERROR(SUM('Data Sheet'!H43:K43),0)</f>
        <v>52895.65</v>
      </c>
    </row>
    <row r="10" spans="1:13" x14ac:dyDescent="0.45">
      <c r="B10" s="15" t="s">
        <v>61</v>
      </c>
      <c r="C10" s="17">
        <f>C9/C6</f>
        <v>0.48894904840516329</v>
      </c>
      <c r="D10" s="17">
        <f t="shared" ref="D10:M10" si="1">D9/D6</f>
        <v>0.51321841768067411</v>
      </c>
      <c r="E10" s="17">
        <f t="shared" si="1"/>
        <v>0.50559346211898382</v>
      </c>
      <c r="F10" s="17">
        <f t="shared" si="1"/>
        <v>0.50095491106873502</v>
      </c>
      <c r="G10" s="17">
        <f t="shared" si="1"/>
        <v>0.49264088021916386</v>
      </c>
      <c r="H10" s="17">
        <f t="shared" si="1"/>
        <v>0.54573490913557243</v>
      </c>
      <c r="I10" s="17">
        <f t="shared" si="1"/>
        <v>0.56151897598695621</v>
      </c>
      <c r="J10" s="17">
        <f t="shared" si="1"/>
        <v>0.54008254202010386</v>
      </c>
      <c r="K10" s="17">
        <f t="shared" si="1"/>
        <v>0.52502534154037117</v>
      </c>
      <c r="L10" s="17">
        <f t="shared" si="1"/>
        <v>0.55054927197864567</v>
      </c>
      <c r="M10" s="17">
        <f t="shared" si="1"/>
        <v>0.66278033277566661</v>
      </c>
    </row>
    <row r="12" spans="1:13" x14ac:dyDescent="0.45">
      <c r="B12" t="s">
        <v>62</v>
      </c>
      <c r="C12" s="13">
        <f>C6-C9</f>
        <v>20029.16</v>
      </c>
      <c r="D12" s="13">
        <f t="shared" ref="D12:M12" si="2">D6-D9</f>
        <v>20818.48</v>
      </c>
      <c r="E12" s="13">
        <f t="shared" si="2"/>
        <v>21481.440000000002</v>
      </c>
      <c r="F12" s="13">
        <f t="shared" si="2"/>
        <v>24123.63</v>
      </c>
      <c r="G12" s="13">
        <f t="shared" si="2"/>
        <v>25057.3</v>
      </c>
      <c r="H12" s="13">
        <f t="shared" si="2"/>
        <v>22375.94</v>
      </c>
      <c r="I12" s="13">
        <f t="shared" si="2"/>
        <v>26591.479999999996</v>
      </c>
      <c r="J12" s="13">
        <f t="shared" si="2"/>
        <v>32616.899999999994</v>
      </c>
      <c r="K12" s="13">
        <f t="shared" si="2"/>
        <v>32265.949999999997</v>
      </c>
      <c r="L12" s="13">
        <f t="shared" si="2"/>
        <v>33854.129999999997</v>
      </c>
      <c r="M12" s="13">
        <f t="shared" si="2"/>
        <v>26913.07</v>
      </c>
    </row>
    <row r="13" spans="1:13" x14ac:dyDescent="0.45">
      <c r="B13" s="15" t="s">
        <v>70</v>
      </c>
      <c r="C13" s="17">
        <f>C12/C6</f>
        <v>0.51105095159483671</v>
      </c>
      <c r="D13" s="17">
        <f t="shared" ref="D13:M13" si="3">D12/D6</f>
        <v>0.48678158231932583</v>
      </c>
      <c r="E13" s="17">
        <f t="shared" si="3"/>
        <v>0.49440653788101624</v>
      </c>
      <c r="F13" s="17">
        <f t="shared" si="3"/>
        <v>0.49904508893126504</v>
      </c>
      <c r="G13" s="17">
        <f t="shared" si="3"/>
        <v>0.50735911978083614</v>
      </c>
      <c r="H13" s="17">
        <f t="shared" si="3"/>
        <v>0.45426509086442762</v>
      </c>
      <c r="I13" s="17">
        <f t="shared" si="3"/>
        <v>0.43848102401304379</v>
      </c>
      <c r="J13" s="17">
        <f t="shared" si="3"/>
        <v>0.45991745797989614</v>
      </c>
      <c r="K13" s="17">
        <f t="shared" si="3"/>
        <v>0.47497465845962877</v>
      </c>
      <c r="L13" s="17">
        <f t="shared" si="3"/>
        <v>0.44945072802135433</v>
      </c>
      <c r="M13" s="17">
        <f t="shared" si="3"/>
        <v>0.33721966722433339</v>
      </c>
    </row>
    <row r="15" spans="1:13" x14ac:dyDescent="0.45">
      <c r="B15" t="s">
        <v>63</v>
      </c>
      <c r="C15" s="13">
        <f>IFERROR(SUM('Data Sheet'!B23:B24),0)</f>
        <v>5497.67</v>
      </c>
      <c r="D15" s="13">
        <f>IFERROR(SUM('Data Sheet'!C23:C24),0)</f>
        <v>5348.9699999999993</v>
      </c>
      <c r="E15" s="13">
        <f>IFERROR(SUM('Data Sheet'!D23:D24),0)</f>
        <v>4960.8500000000004</v>
      </c>
      <c r="F15" s="13">
        <f>IFERROR(SUM('Data Sheet'!E23:E24),0)</f>
        <v>5586.24</v>
      </c>
      <c r="G15" s="13">
        <f>IFERROR(SUM('Data Sheet'!F23:F24),0)</f>
        <v>5713.76</v>
      </c>
      <c r="H15" s="13">
        <f>IFERROR(SUM('Data Sheet'!G23:G24),0)</f>
        <v>5311.1600000000008</v>
      </c>
      <c r="I15" s="13">
        <f>IFERROR(SUM('Data Sheet'!H23:H24),0)</f>
        <v>5968.33</v>
      </c>
      <c r="J15" s="13">
        <f>IFERROR(SUM('Data Sheet'!I23:I24),0)</f>
        <v>6912.6399999999994</v>
      </c>
      <c r="K15" s="13">
        <f>IFERROR(SUM('Data Sheet'!J23:J24),0)</f>
        <v>7078.42</v>
      </c>
      <c r="L15" s="13">
        <f>IFERROR(SUM('Data Sheet'!K23:K24),0)</f>
        <v>8014.68</v>
      </c>
      <c r="M15" s="13">
        <f>IFERROR(SUM('Data Sheet'!L23:L24),0)</f>
        <v>0</v>
      </c>
    </row>
    <row r="16" spans="1:13" x14ac:dyDescent="0.45">
      <c r="B16" s="15" t="s">
        <v>64</v>
      </c>
      <c r="C16" s="17">
        <f>C15/C6</f>
        <v>0.14027495337070481</v>
      </c>
      <c r="D16" s="17">
        <f t="shared" ref="D16:M16" si="4">D15/D6</f>
        <v>0.12507061420327537</v>
      </c>
      <c r="E16" s="17">
        <f t="shared" si="4"/>
        <v>0.11417654838069698</v>
      </c>
      <c r="F16" s="17">
        <f t="shared" si="4"/>
        <v>0.11556244386070379</v>
      </c>
      <c r="G16" s="17">
        <f t="shared" si="4"/>
        <v>0.11569196378855465</v>
      </c>
      <c r="H16" s="17">
        <f t="shared" si="4"/>
        <v>0.10782450167436604</v>
      </c>
      <c r="I16" s="17">
        <f t="shared" si="4"/>
        <v>9.8414960357519399E-2</v>
      </c>
      <c r="J16" s="17">
        <f t="shared" si="4"/>
        <v>9.7472286352478302E-2</v>
      </c>
      <c r="K16" s="17">
        <f t="shared" si="4"/>
        <v>0.10419870240714456</v>
      </c>
      <c r="L16" s="17">
        <f t="shared" si="4"/>
        <v>0.10640367248717331</v>
      </c>
      <c r="M16" s="17">
        <f t="shared" si="4"/>
        <v>0</v>
      </c>
    </row>
    <row r="18" spans="2:13" x14ac:dyDescent="0.45">
      <c r="B18" t="s">
        <v>65</v>
      </c>
      <c r="C18" s="13">
        <f t="shared" ref="C18:L18" si="5">C12-C15</f>
        <v>14531.49</v>
      </c>
      <c r="D18" s="13">
        <f t="shared" si="5"/>
        <v>15469.51</v>
      </c>
      <c r="E18" s="13">
        <f t="shared" si="5"/>
        <v>16520.590000000004</v>
      </c>
      <c r="F18" s="13">
        <f t="shared" si="5"/>
        <v>18537.39</v>
      </c>
      <c r="G18" s="13">
        <f t="shared" si="5"/>
        <v>19343.54</v>
      </c>
      <c r="H18" s="13">
        <f t="shared" si="5"/>
        <v>17064.78</v>
      </c>
      <c r="I18" s="13">
        <f t="shared" si="5"/>
        <v>20623.149999999994</v>
      </c>
      <c r="J18" s="13">
        <f t="shared" si="5"/>
        <v>25704.259999999995</v>
      </c>
      <c r="K18" s="13">
        <f t="shared" si="5"/>
        <v>25187.53</v>
      </c>
      <c r="L18" s="13">
        <f t="shared" si="5"/>
        <v>25839.449999999997</v>
      </c>
      <c r="M18" s="24"/>
    </row>
    <row r="19" spans="2:13" x14ac:dyDescent="0.45">
      <c r="B19" s="15" t="s">
        <v>66</v>
      </c>
      <c r="C19" s="17">
        <f>C18/C6</f>
        <v>0.37077599822413193</v>
      </c>
      <c r="D19" s="17">
        <f t="shared" ref="D19:M19" si="6">D18/D6</f>
        <v>0.36171096811605047</v>
      </c>
      <c r="E19" s="17">
        <f t="shared" si="6"/>
        <v>0.38022998950031928</v>
      </c>
      <c r="F19" s="17">
        <f t="shared" si="6"/>
        <v>0.38348264507056118</v>
      </c>
      <c r="G19" s="17">
        <f t="shared" si="6"/>
        <v>0.39166715599228152</v>
      </c>
      <c r="H19" s="17">
        <f t="shared" si="6"/>
        <v>0.3464405891900616</v>
      </c>
      <c r="I19" s="17">
        <f t="shared" si="6"/>
        <v>0.34006606365552439</v>
      </c>
      <c r="J19" s="17">
        <f t="shared" si="6"/>
        <v>0.36244517162741785</v>
      </c>
      <c r="K19" s="17">
        <f t="shared" si="6"/>
        <v>0.37077595605248426</v>
      </c>
      <c r="L19" s="17">
        <f t="shared" si="6"/>
        <v>0.34304705553418102</v>
      </c>
      <c r="M19" s="17">
        <f t="shared" si="6"/>
        <v>0</v>
      </c>
    </row>
    <row r="21" spans="2:13" x14ac:dyDescent="0.45">
      <c r="B21" t="s">
        <v>22</v>
      </c>
      <c r="C21" s="13">
        <f>IFERROR('Data Sheet'!B27,0)</f>
        <v>78.13</v>
      </c>
      <c r="D21" s="13">
        <f>IFERROR('Data Sheet'!C27,0)</f>
        <v>49.03</v>
      </c>
      <c r="E21" s="13">
        <f>IFERROR('Data Sheet'!D27,0)</f>
        <v>115.01</v>
      </c>
      <c r="F21" s="13">
        <f>IFERROR('Data Sheet'!E27,0)</f>
        <v>71.400000000000006</v>
      </c>
      <c r="G21" s="13">
        <f>IFERROR('Data Sheet'!F27,0)</f>
        <v>81.38</v>
      </c>
      <c r="H21" s="13">
        <f>IFERROR('Data Sheet'!G27,0)</f>
        <v>57.97</v>
      </c>
      <c r="I21" s="13">
        <f>IFERROR('Data Sheet'!H27,0)</f>
        <v>59.99</v>
      </c>
      <c r="J21" s="13">
        <f>IFERROR('Data Sheet'!I27,0)</f>
        <v>77.77</v>
      </c>
      <c r="K21" s="13">
        <f>IFERROR('Data Sheet'!J27,0)</f>
        <v>39.11</v>
      </c>
      <c r="L21" s="13">
        <f>IFERROR('Data Sheet'!K27,0)</f>
        <v>45.06</v>
      </c>
      <c r="M21" s="13">
        <f>IFERROR(SUM('Data Sheet'!H46:K46),0)</f>
        <v>66.900000000000006</v>
      </c>
    </row>
    <row r="22" spans="2:13" x14ac:dyDescent="0.45">
      <c r="B22" s="15" t="s">
        <v>67</v>
      </c>
      <c r="C22" s="17">
        <f>C21/C6</f>
        <v>1.9935139989946953E-3</v>
      </c>
      <c r="D22" s="17">
        <f t="shared" ref="D22:M22" si="7">D21/D6</f>
        <v>1.146428604831695E-3</v>
      </c>
      <c r="E22" s="17">
        <f t="shared" si="7"/>
        <v>2.647015094039118E-3</v>
      </c>
      <c r="F22" s="17">
        <f t="shared" si="7"/>
        <v>1.4770504832685763E-3</v>
      </c>
      <c r="G22" s="17">
        <f t="shared" si="7"/>
        <v>1.647778697934911E-3</v>
      </c>
      <c r="H22" s="17">
        <f t="shared" si="7"/>
        <v>1.1768778123918311E-3</v>
      </c>
      <c r="I22" s="17">
        <f t="shared" si="7"/>
        <v>9.8920694262006107E-4</v>
      </c>
      <c r="J22" s="17">
        <f t="shared" si="7"/>
        <v>1.0966027031108574E-3</v>
      </c>
      <c r="K22" s="17">
        <f t="shared" si="7"/>
        <v>5.7572329010477244E-4</v>
      </c>
      <c r="L22" s="17">
        <f t="shared" si="7"/>
        <v>5.9822094984104534E-4</v>
      </c>
      <c r="M22" s="17">
        <f t="shared" si="7"/>
        <v>8.3825426594988622E-4</v>
      </c>
    </row>
    <row r="24" spans="2:13" x14ac:dyDescent="0.45">
      <c r="B24" t="s">
        <v>68</v>
      </c>
      <c r="C24" s="13">
        <f>IFERROR('Data Sheet'!B26,0)</f>
        <v>1077.4000000000001</v>
      </c>
      <c r="D24" s="13">
        <f>IFERROR('Data Sheet'!C26,0)</f>
        <v>1152.79</v>
      </c>
      <c r="E24" s="13">
        <f>IFERROR('Data Sheet'!D26,0)</f>
        <v>1236.28</v>
      </c>
      <c r="F24" s="13">
        <f>IFERROR('Data Sheet'!E26,0)</f>
        <v>1396.61</v>
      </c>
      <c r="G24" s="13">
        <f>IFERROR('Data Sheet'!F26,0)</f>
        <v>1644.91</v>
      </c>
      <c r="H24" s="13">
        <f>IFERROR('Data Sheet'!G26,0)</f>
        <v>1645.59</v>
      </c>
      <c r="I24" s="13">
        <f>IFERROR('Data Sheet'!H26,0)</f>
        <v>1732.41</v>
      </c>
      <c r="J24" s="13">
        <f>IFERROR('Data Sheet'!I26,0)</f>
        <v>1809.01</v>
      </c>
      <c r="K24" s="13">
        <f>IFERROR('Data Sheet'!J26,0)</f>
        <v>1518.05</v>
      </c>
      <c r="L24" s="13">
        <f>IFERROR('Data Sheet'!K26,0)</f>
        <v>1646.32</v>
      </c>
      <c r="M24" s="13">
        <f>IFERROR(SUM('Data Sheet'!H45:K45),0)</f>
        <v>1699.61</v>
      </c>
    </row>
    <row r="25" spans="2:13" x14ac:dyDescent="0.45">
      <c r="B25" s="15" t="s">
        <v>69</v>
      </c>
      <c r="C25" s="17">
        <f>C24/C6</f>
        <v>2.7490234001240049E-2</v>
      </c>
      <c r="D25" s="17">
        <f t="shared" ref="D25:M25" si="8">D24/D6</f>
        <v>2.6954750792656124E-2</v>
      </c>
      <c r="E25" s="17">
        <f t="shared" si="8"/>
        <v>2.845362855802696E-2</v>
      </c>
      <c r="F25" s="17">
        <f t="shared" si="8"/>
        <v>2.8891645314253867E-2</v>
      </c>
      <c r="G25" s="17">
        <f t="shared" si="8"/>
        <v>3.3306066085280348E-2</v>
      </c>
      <c r="H25" s="17">
        <f t="shared" si="8"/>
        <v>3.3407941336792708E-2</v>
      </c>
      <c r="I25" s="17">
        <f t="shared" si="8"/>
        <v>2.8566627762367396E-2</v>
      </c>
      <c r="J25" s="17">
        <f t="shared" si="8"/>
        <v>2.550810410125463E-2</v>
      </c>
      <c r="K25" s="17">
        <f t="shared" si="8"/>
        <v>2.2346631054552542E-2</v>
      </c>
      <c r="L25" s="17">
        <f t="shared" si="8"/>
        <v>2.1856704707996222E-2</v>
      </c>
      <c r="M25" s="17">
        <f t="shared" si="8"/>
        <v>2.1296043840823408E-2</v>
      </c>
    </row>
    <row r="27" spans="2:13" x14ac:dyDescent="0.45">
      <c r="B27" t="s">
        <v>71</v>
      </c>
      <c r="C27" s="13">
        <f>IFERROR(C18-SUM(C24,C21),0)</f>
        <v>13375.96</v>
      </c>
      <c r="D27" s="13">
        <f t="shared" ref="D27:L27" si="9">IFERROR(D18-SUM(D24,D21),0)</f>
        <v>14267.69</v>
      </c>
      <c r="E27" s="13">
        <f t="shared" si="9"/>
        <v>15169.300000000003</v>
      </c>
      <c r="F27" s="13">
        <f t="shared" si="9"/>
        <v>17069.38</v>
      </c>
      <c r="G27" s="13">
        <f t="shared" si="9"/>
        <v>17617.25</v>
      </c>
      <c r="H27" s="13">
        <f t="shared" si="9"/>
        <v>15361.22</v>
      </c>
      <c r="I27" s="13">
        <f t="shared" si="9"/>
        <v>18830.749999999993</v>
      </c>
      <c r="J27" s="13">
        <f t="shared" si="9"/>
        <v>23817.479999999996</v>
      </c>
      <c r="K27" s="13">
        <f t="shared" si="9"/>
        <v>23630.37</v>
      </c>
      <c r="L27" s="13">
        <f t="shared" si="9"/>
        <v>24148.069999999996</v>
      </c>
      <c r="M27" s="13">
        <f>IFERROR(SUM('Data Sheet'!H47:K47),0)</f>
        <v>42349.5</v>
      </c>
    </row>
    <row r="28" spans="2:13" x14ac:dyDescent="0.45">
      <c r="B28" s="15" t="s">
        <v>72</v>
      </c>
      <c r="C28" s="17">
        <f>C27/C6</f>
        <v>0.34129225022389714</v>
      </c>
      <c r="D28" s="17">
        <f t="shared" ref="D28:M28" si="10">D27/D6</f>
        <v>0.33360978871856267</v>
      </c>
      <c r="E28" s="17">
        <f t="shared" si="10"/>
        <v>0.34912934584825317</v>
      </c>
      <c r="F28" s="17">
        <f t="shared" si="10"/>
        <v>0.3531139492730388</v>
      </c>
      <c r="G28" s="17">
        <f t="shared" si="10"/>
        <v>0.35671331120906624</v>
      </c>
      <c r="H28" s="17">
        <f t="shared" si="10"/>
        <v>0.31185577004087706</v>
      </c>
      <c r="I28" s="17">
        <f t="shared" si="10"/>
        <v>0.31051022895053687</v>
      </c>
      <c r="J28" s="17">
        <f t="shared" si="10"/>
        <v>0.33584046482305235</v>
      </c>
      <c r="K28" s="17">
        <f t="shared" si="10"/>
        <v>0.34785360170782698</v>
      </c>
      <c r="L28" s="17">
        <f t="shared" si="10"/>
        <v>0.32059212987634372</v>
      </c>
      <c r="M28" s="17">
        <f t="shared" si="10"/>
        <v>0.53063750427271605</v>
      </c>
    </row>
    <row r="30" spans="2:13" x14ac:dyDescent="0.45">
      <c r="B30" t="s">
        <v>24</v>
      </c>
      <c r="C30" s="13">
        <f>IFERROR('Data Sheet'!B29,0)</f>
        <v>5358.21</v>
      </c>
      <c r="D30" s="13">
        <f>IFERROR('Data Sheet'!C29,0)</f>
        <v>5549.09</v>
      </c>
      <c r="E30" s="13">
        <f>IFERROR('Data Sheet'!D29,0)</f>
        <v>5916.43</v>
      </c>
      <c r="F30" s="13">
        <f>IFERROR('Data Sheet'!E29,0)</f>
        <v>6313.92</v>
      </c>
      <c r="G30" s="13">
        <f>IFERROR('Data Sheet'!F29,0)</f>
        <v>4441.79</v>
      </c>
      <c r="H30" s="13">
        <f>IFERROR('Data Sheet'!G29,0)</f>
        <v>4555.29</v>
      </c>
      <c r="I30" s="13">
        <f>IFERROR('Data Sheet'!H29,0)</f>
        <v>5237.34</v>
      </c>
      <c r="J30" s="13">
        <f>IFERROR('Data Sheet'!I29,0)</f>
        <v>6438.4</v>
      </c>
      <c r="K30" s="13">
        <f>IFERROR('Data Sheet'!J29,0)</f>
        <v>6209.46</v>
      </c>
      <c r="L30" s="13">
        <f>IFERROR('Data Sheet'!K29,0)</f>
        <v>6890.47</v>
      </c>
      <c r="M30" s="13">
        <f>IFERROR(SUM('Data Sheet'!H48:K48),0)</f>
        <v>6993.21</v>
      </c>
    </row>
    <row r="31" spans="2:13" x14ac:dyDescent="0.45">
      <c r="B31" s="15" t="s">
        <v>73</v>
      </c>
      <c r="C31" s="17">
        <f>C30/C27</f>
        <v>0.40058507950083588</v>
      </c>
      <c r="D31" s="17">
        <f t="shared" ref="D31:M31" si="11">D30/D27</f>
        <v>0.3889270092075171</v>
      </c>
      <c r="E31" s="17">
        <f t="shared" si="11"/>
        <v>0.3900265668158715</v>
      </c>
      <c r="F31" s="17">
        <f t="shared" si="11"/>
        <v>0.36989744208635578</v>
      </c>
      <c r="G31" s="17">
        <f t="shared" si="11"/>
        <v>0.25212731839532276</v>
      </c>
      <c r="H31" s="17">
        <f t="shared" si="11"/>
        <v>0.29654480568600672</v>
      </c>
      <c r="I31" s="17">
        <f t="shared" si="11"/>
        <v>0.27812699972120081</v>
      </c>
      <c r="J31" s="17">
        <f t="shared" si="11"/>
        <v>0.27032246904374435</v>
      </c>
      <c r="K31" s="17">
        <f t="shared" si="11"/>
        <v>0.2627745566404589</v>
      </c>
      <c r="L31" s="17">
        <f t="shared" si="11"/>
        <v>0.28534247250401384</v>
      </c>
      <c r="M31" s="17">
        <f t="shared" si="11"/>
        <v>0.16513087521694472</v>
      </c>
    </row>
    <row r="33" spans="1:13" x14ac:dyDescent="0.45">
      <c r="B33" t="s">
        <v>74</v>
      </c>
      <c r="C33" s="13">
        <f>IFERROR(C27-C30,0)</f>
        <v>8017.7499999999991</v>
      </c>
      <c r="D33" s="13">
        <f t="shared" ref="D33:L33" si="12">IFERROR(D27-D30,0)</f>
        <v>8718.6</v>
      </c>
      <c r="E33" s="13">
        <f t="shared" si="12"/>
        <v>9252.8700000000026</v>
      </c>
      <c r="F33" s="13">
        <f t="shared" si="12"/>
        <v>10755.460000000001</v>
      </c>
      <c r="G33" s="13">
        <f t="shared" si="12"/>
        <v>13175.46</v>
      </c>
      <c r="H33" s="13">
        <f t="shared" si="12"/>
        <v>10805.93</v>
      </c>
      <c r="I33" s="13">
        <f t="shared" si="12"/>
        <v>13593.409999999993</v>
      </c>
      <c r="J33" s="13">
        <f t="shared" si="12"/>
        <v>17379.079999999994</v>
      </c>
      <c r="K33" s="13">
        <f t="shared" si="12"/>
        <v>17420.91</v>
      </c>
      <c r="L33" s="13">
        <f t="shared" si="12"/>
        <v>17257.599999999995</v>
      </c>
      <c r="M33" s="13">
        <f>IFERROR(SUM('Data Sheet'!H49:K49),0)</f>
        <v>35028.870000000003</v>
      </c>
    </row>
    <row r="34" spans="1:13" x14ac:dyDescent="0.45">
      <c r="B34" s="15" t="s">
        <v>75</v>
      </c>
      <c r="C34" s="17">
        <f>C33/C6</f>
        <v>0.20457566703493815</v>
      </c>
      <c r="D34" s="17">
        <f t="shared" ref="D34:M34" si="13">D33/D6</f>
        <v>0.20385993134990041</v>
      </c>
      <c r="E34" s="17">
        <f t="shared" si="13"/>
        <v>0.21295962571238797</v>
      </c>
      <c r="F34" s="17">
        <f t="shared" si="13"/>
        <v>0.22249800267193054</v>
      </c>
      <c r="G34" s="17">
        <f t="shared" si="13"/>
        <v>0.26677614061800814</v>
      </c>
      <c r="H34" s="17">
        <f t="shared" si="13"/>
        <v>0.21937656131204519</v>
      </c>
      <c r="I34" s="17">
        <f t="shared" si="13"/>
        <v>0.2241489505897809</v>
      </c>
      <c r="J34" s="17">
        <f t="shared" si="13"/>
        <v>0.24505524116728605</v>
      </c>
      <c r="K34" s="17">
        <f t="shared" si="13"/>
        <v>0.25644652574326599</v>
      </c>
      <c r="L34" s="17">
        <f t="shared" si="13"/>
        <v>0.22911357887209988</v>
      </c>
      <c r="M34" s="17">
        <f t="shared" si="13"/>
        <v>0.43891030955013438</v>
      </c>
    </row>
    <row r="36" spans="1:13" x14ac:dyDescent="0.45">
      <c r="B36" t="s">
        <v>43</v>
      </c>
      <c r="C36">
        <f>IFERROR('Data Sheet'!B93,0)</f>
        <v>1207.08</v>
      </c>
      <c r="D36">
        <f>IFERROR('Data Sheet'!C93,0)</f>
        <v>1214.74</v>
      </c>
      <c r="E36">
        <f>IFERROR('Data Sheet'!D93,0)</f>
        <v>1220.43</v>
      </c>
      <c r="F36">
        <f>IFERROR('Data Sheet'!E93,0)</f>
        <v>1225.8599999999999</v>
      </c>
      <c r="G36">
        <f>IFERROR('Data Sheet'!F93,0)</f>
        <v>1229.22</v>
      </c>
      <c r="H36">
        <f>IFERROR('Data Sheet'!G93,0)</f>
        <v>1230.8800000000001</v>
      </c>
      <c r="I36">
        <f>IFERROR('Data Sheet'!H93,0)</f>
        <v>1232.33</v>
      </c>
      <c r="J36">
        <f>IFERROR('Data Sheet'!I93,0)</f>
        <v>1242.8</v>
      </c>
      <c r="K36">
        <f>IFERROR('Data Sheet'!J93,0)</f>
        <v>1248.47</v>
      </c>
      <c r="L36">
        <f>IFERROR('Data Sheet'!K93,0)</f>
        <v>1251.4100000000001</v>
      </c>
      <c r="M36">
        <f>IFERROR('Data Sheet'!L93,0)</f>
        <v>0</v>
      </c>
    </row>
    <row r="38" spans="1:13" x14ac:dyDescent="0.45">
      <c r="B38" t="s">
        <v>76</v>
      </c>
      <c r="C38" s="13">
        <f>IFERROR(C33/C36,0)</f>
        <v>6.6422689465486959</v>
      </c>
      <c r="D38" s="13">
        <f t="shared" ref="D38:M38" si="14">IFERROR(D33/D36,0)</f>
        <v>7.1773383604722003</v>
      </c>
      <c r="E38" s="13">
        <f t="shared" si="14"/>
        <v>7.5816474521275303</v>
      </c>
      <c r="F38" s="13">
        <f t="shared" si="14"/>
        <v>8.7738077757655866</v>
      </c>
      <c r="G38" s="13">
        <f t="shared" si="14"/>
        <v>10.718553228876848</v>
      </c>
      <c r="H38" s="13">
        <f t="shared" si="14"/>
        <v>8.7790280124788769</v>
      </c>
      <c r="I38" s="13">
        <f t="shared" si="14"/>
        <v>11.030657372619341</v>
      </c>
      <c r="J38" s="13">
        <f t="shared" si="14"/>
        <v>13.983810749919533</v>
      </c>
      <c r="K38" s="13">
        <f t="shared" si="14"/>
        <v>13.953807460331445</v>
      </c>
      <c r="L38" s="13">
        <f t="shared" si="14"/>
        <v>13.790524288602452</v>
      </c>
      <c r="M38" s="13">
        <f t="shared" si="14"/>
        <v>0</v>
      </c>
    </row>
    <row r="39" spans="1:13" x14ac:dyDescent="0.45">
      <c r="B39" s="15" t="s">
        <v>78</v>
      </c>
      <c r="C39" s="17">
        <f>IFERROR(C38/B38-1,0)</f>
        <v>0</v>
      </c>
      <c r="D39" s="17">
        <f>IFERROR(D38/C38-1,0)</f>
        <v>8.0555216632943516E-2</v>
      </c>
      <c r="E39" s="17">
        <f t="shared" ref="E39:M39" si="15">IFERROR(E38/D38-1,0)</f>
        <v>5.633134058190481E-2</v>
      </c>
      <c r="F39" s="17">
        <f t="shared" si="15"/>
        <v>0.15724291206702268</v>
      </c>
      <c r="G39" s="17">
        <f t="shared" si="15"/>
        <v>0.22165352864042731</v>
      </c>
      <c r="H39" s="17">
        <f t="shared" si="15"/>
        <v>-0.18095028078721465</v>
      </c>
      <c r="I39" s="17">
        <f t="shared" si="15"/>
        <v>0.25647820657821163</v>
      </c>
      <c r="J39" s="17">
        <f t="shared" si="15"/>
        <v>0.26772233762156428</v>
      </c>
      <c r="K39" s="17">
        <f t="shared" si="15"/>
        <v>-2.1455732006571138E-3</v>
      </c>
      <c r="L39" s="17">
        <f t="shared" si="15"/>
        <v>-1.1701693046373363E-2</v>
      </c>
      <c r="M39" s="17">
        <f t="shared" si="15"/>
        <v>-1</v>
      </c>
    </row>
    <row r="41" spans="1:13" x14ac:dyDescent="0.45">
      <c r="B41" t="s">
        <v>77</v>
      </c>
      <c r="C41" s="13">
        <f>IFERROR('Data Sheet'!B31/'Historical FS'!C36,0)</f>
        <v>5.666666666666667</v>
      </c>
      <c r="D41" s="13">
        <f>IFERROR('Data Sheet'!C31/'Historical FS'!D36,0)</f>
        <v>4.7500041161071511</v>
      </c>
      <c r="E41" s="13">
        <f>IFERROR('Data Sheet'!D31/'Historical FS'!E36,0)</f>
        <v>5.1499963127750057</v>
      </c>
      <c r="F41" s="13">
        <f>IFERROR('Data Sheet'!E31/'Historical FS'!F36,0)</f>
        <v>5.7500040787691908</v>
      </c>
      <c r="G41" s="13">
        <f>IFERROR('Data Sheet'!F31/'Historical FS'!G36,0)</f>
        <v>10.149997559427929</v>
      </c>
      <c r="H41" s="13">
        <f>IFERROR('Data Sheet'!G31/'Historical FS'!H36,0)</f>
        <v>10.749999999999998</v>
      </c>
      <c r="I41" s="13">
        <f>IFERROR('Data Sheet'!H31/'Historical FS'!I36,0)</f>
        <v>11.500004057354767</v>
      </c>
      <c r="J41" s="13">
        <f>IFERROR('Data Sheet'!I31/'Historical FS'!J36,0)</f>
        <v>15.500000000000002</v>
      </c>
      <c r="K41" s="13">
        <f>IFERROR('Data Sheet'!J31/'Historical FS'!K36,0)</f>
        <v>13.749997997548999</v>
      </c>
      <c r="L41" s="13">
        <f>IFERROR('Data Sheet'!K31/'Historical FS'!L36,0)</f>
        <v>14.349997203154841</v>
      </c>
      <c r="M41" s="13">
        <f>IFERROR('Data Sheet'!L31/'Historical FS'!M36,0)</f>
        <v>0</v>
      </c>
    </row>
    <row r="42" spans="1:13" x14ac:dyDescent="0.45">
      <c r="B42" s="15" t="s">
        <v>79</v>
      </c>
      <c r="C42" s="17">
        <f>IFERROR(C41/C38,0)</f>
        <v>0.85312213526238667</v>
      </c>
      <c r="D42" s="17">
        <f t="shared" ref="D42:L42" si="16">IFERROR(D41/D38,0)</f>
        <v>0.66180579450829269</v>
      </c>
      <c r="E42" s="17">
        <f t="shared" si="16"/>
        <v>0.67927140443991962</v>
      </c>
      <c r="F42" s="17">
        <f t="shared" si="16"/>
        <v>0.65536016125763097</v>
      </c>
      <c r="G42" s="17">
        <f t="shared" si="16"/>
        <v>0.94695593170940517</v>
      </c>
      <c r="H42" s="17">
        <f t="shared" si="16"/>
        <v>1.2245091352618422</v>
      </c>
      <c r="I42" s="17">
        <f t="shared" si="16"/>
        <v>1.0425492941064831</v>
      </c>
      <c r="J42" s="17">
        <f t="shared" si="16"/>
        <v>1.108424611659536</v>
      </c>
      <c r="K42" s="17">
        <f t="shared" si="16"/>
        <v>0.98539398917737353</v>
      </c>
      <c r="L42" s="17">
        <f t="shared" si="16"/>
        <v>1.040569372334508</v>
      </c>
      <c r="M42" s="25" t="s">
        <v>59</v>
      </c>
    </row>
    <row r="44" spans="1:13" x14ac:dyDescent="0.45">
      <c r="B44" t="s">
        <v>80</v>
      </c>
      <c r="C44" s="14">
        <f>IFERROR(IF(C38&gt;C41,1-C42,0),0)</f>
        <v>0.14687786473761333</v>
      </c>
      <c r="D44" s="14">
        <f t="shared" ref="D44:M44" si="17">IFERROR(IF(D38&gt;D41,1-D42,0),0)</f>
        <v>0.33819420549170731</v>
      </c>
      <c r="E44" s="14">
        <f t="shared" si="17"/>
        <v>0.32072859556008038</v>
      </c>
      <c r="F44" s="14">
        <f t="shared" si="17"/>
        <v>0.34463983874236903</v>
      </c>
      <c r="G44" s="14">
        <f t="shared" si="17"/>
        <v>5.3044068290594826E-2</v>
      </c>
      <c r="H44" s="14">
        <f t="shared" si="17"/>
        <v>0</v>
      </c>
      <c r="I44" s="14">
        <f t="shared" si="17"/>
        <v>0</v>
      </c>
      <c r="J44" s="14">
        <f t="shared" si="17"/>
        <v>0</v>
      </c>
      <c r="K44" s="14">
        <f t="shared" si="17"/>
        <v>1.460601082262647E-2</v>
      </c>
      <c r="L44" s="14">
        <f t="shared" si="17"/>
        <v>0</v>
      </c>
      <c r="M44" s="14">
        <f t="shared" si="17"/>
        <v>0</v>
      </c>
    </row>
    <row r="46" spans="1:13" x14ac:dyDescent="0.45">
      <c r="A46" t="s">
        <v>57</v>
      </c>
      <c r="B46" s="22" t="s">
        <v>81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x14ac:dyDescent="0.45">
      <c r="B47" s="6" t="s">
        <v>31</v>
      </c>
      <c r="C47" s="13">
        <f>IFERROR('Data Sheet'!B57,0)</f>
        <v>804.72</v>
      </c>
      <c r="D47" s="13">
        <f>IFERROR('Data Sheet'!C57,0)</f>
        <v>1214.74</v>
      </c>
      <c r="E47" s="13">
        <f>IFERROR('Data Sheet'!D57,0)</f>
        <v>1220.43</v>
      </c>
      <c r="F47" s="13">
        <f>IFERROR('Data Sheet'!E57,0)</f>
        <v>1225.8599999999999</v>
      </c>
      <c r="G47" s="13">
        <f>IFERROR('Data Sheet'!F57,0)</f>
        <v>1229.22</v>
      </c>
      <c r="H47" s="13">
        <f>IFERROR('Data Sheet'!G57,0)</f>
        <v>1230.8800000000001</v>
      </c>
      <c r="I47" s="13">
        <f>IFERROR('Data Sheet'!H57,0)</f>
        <v>1232.33</v>
      </c>
      <c r="J47" s="13">
        <f>IFERROR('Data Sheet'!I57,0)</f>
        <v>1242.8</v>
      </c>
      <c r="K47" s="13">
        <f>IFERROR('Data Sheet'!J57,0)</f>
        <v>1248.47</v>
      </c>
      <c r="L47" s="13">
        <f>IFERROR('Data Sheet'!K57,0)</f>
        <v>1251.4100000000001</v>
      </c>
      <c r="M47" s="13"/>
    </row>
    <row r="48" spans="1:13" x14ac:dyDescent="0.45">
      <c r="B48" s="6" t="s">
        <v>32</v>
      </c>
      <c r="C48" s="13">
        <f>IFERROR('Data Sheet'!B58,0)</f>
        <v>41874.800000000003</v>
      </c>
      <c r="D48" s="13">
        <f>IFERROR('Data Sheet'!C58,0)</f>
        <v>45198.19</v>
      </c>
      <c r="E48" s="13">
        <f>IFERROR('Data Sheet'!D58,0)</f>
        <v>51289.68</v>
      </c>
      <c r="F48" s="13">
        <f>IFERROR('Data Sheet'!E58,0)</f>
        <v>57915.01</v>
      </c>
      <c r="G48" s="13">
        <f>IFERROR('Data Sheet'!F58,0)</f>
        <v>64044.04</v>
      </c>
      <c r="H48" s="13">
        <f>IFERROR('Data Sheet'!G58,0)</f>
        <v>59116.46</v>
      </c>
      <c r="I48" s="13">
        <f>IFERROR('Data Sheet'!H58,0)</f>
        <v>61223.24</v>
      </c>
      <c r="J48" s="13">
        <f>IFERROR('Data Sheet'!I58,0)</f>
        <v>67912.460000000006</v>
      </c>
      <c r="K48" s="13">
        <f>IFERROR('Data Sheet'!J58,0)</f>
        <v>73258.53</v>
      </c>
      <c r="L48" s="13">
        <f>IFERROR('Data Sheet'!K58,0)</f>
        <v>68778.64</v>
      </c>
      <c r="M48" s="13"/>
    </row>
    <row r="49" spans="2:13" x14ac:dyDescent="0.45">
      <c r="B49" s="6" t="s">
        <v>33</v>
      </c>
      <c r="C49" s="13">
        <f>IFERROR('Data Sheet'!B59,0)</f>
        <v>83.78</v>
      </c>
      <c r="D49" s="13">
        <f>IFERROR('Data Sheet'!C59,0)</f>
        <v>45.72</v>
      </c>
      <c r="E49" s="13">
        <f>IFERROR('Data Sheet'!D59,0)</f>
        <v>35.92</v>
      </c>
      <c r="F49" s="13">
        <f>IFERROR('Data Sheet'!E59,0)</f>
        <v>13.44</v>
      </c>
      <c r="G49" s="13">
        <f>IFERROR('Data Sheet'!F59,0)</f>
        <v>277.45</v>
      </c>
      <c r="H49" s="13">
        <f>IFERROR('Data Sheet'!G59,0)</f>
        <v>270.83</v>
      </c>
      <c r="I49" s="13">
        <f>IFERROR('Data Sheet'!H59,0)</f>
        <v>249.44</v>
      </c>
      <c r="J49" s="13">
        <f>IFERROR('Data Sheet'!I59,0)</f>
        <v>306.04000000000002</v>
      </c>
      <c r="K49" s="13">
        <f>IFERROR('Data Sheet'!J59,0)</f>
        <v>303.43</v>
      </c>
      <c r="L49" s="13">
        <f>IFERROR('Data Sheet'!K59,0)</f>
        <v>284.54000000000002</v>
      </c>
      <c r="M49" s="13"/>
    </row>
    <row r="50" spans="2:13" x14ac:dyDescent="0.45">
      <c r="B50" s="6" t="s">
        <v>34</v>
      </c>
      <c r="C50" s="13">
        <f>IFERROR('Data Sheet'!B60,0)</f>
        <v>8888.0400000000009</v>
      </c>
      <c r="D50" s="13">
        <f>IFERROR('Data Sheet'!C60,0)</f>
        <v>9439.67</v>
      </c>
      <c r="E50" s="13">
        <f>IFERROR('Data Sheet'!D60,0)</f>
        <v>11694.85</v>
      </c>
      <c r="F50" s="13">
        <f>IFERROR('Data Sheet'!E60,0)</f>
        <v>12584.73</v>
      </c>
      <c r="G50" s="13">
        <f>IFERROR('Data Sheet'!F60,0)</f>
        <v>11760.04</v>
      </c>
      <c r="H50" s="13">
        <f>IFERROR('Data Sheet'!G60,0)</f>
        <v>13142.59</v>
      </c>
      <c r="I50" s="13">
        <f>IFERROR('Data Sheet'!H60,0)</f>
        <v>14491.01</v>
      </c>
      <c r="J50" s="13">
        <f>IFERROR('Data Sheet'!I60,0)</f>
        <v>16369.66</v>
      </c>
      <c r="K50" s="13">
        <f>IFERROR('Data Sheet'!J60,0)</f>
        <v>16943.54</v>
      </c>
      <c r="L50" s="13">
        <f>IFERROR('Data Sheet'!K60,0)</f>
        <v>17688.11</v>
      </c>
      <c r="M50" s="13"/>
    </row>
    <row r="51" spans="2:13" x14ac:dyDescent="0.45">
      <c r="B51" s="27" t="s">
        <v>82</v>
      </c>
      <c r="C51" s="28">
        <f>IFERROR('Data Sheet'!B61,0)</f>
        <v>51651.34</v>
      </c>
      <c r="D51" s="28">
        <f>IFERROR('Data Sheet'!C61,0)</f>
        <v>55898.32</v>
      </c>
      <c r="E51" s="28">
        <f>IFERROR('Data Sheet'!D61,0)</f>
        <v>64240.88</v>
      </c>
      <c r="F51" s="28">
        <f>IFERROR('Data Sheet'!E61,0)</f>
        <v>71739.039999999994</v>
      </c>
      <c r="G51" s="28">
        <f>IFERROR('Data Sheet'!F61,0)</f>
        <v>77310.75</v>
      </c>
      <c r="H51" s="28">
        <f>IFERROR('Data Sheet'!G61,0)</f>
        <v>73760.759999999995</v>
      </c>
      <c r="I51" s="28">
        <f>IFERROR('Data Sheet'!H61,0)</f>
        <v>77196.02</v>
      </c>
      <c r="J51" s="28">
        <f>IFERROR('Data Sheet'!I61,0)</f>
        <v>85830.96</v>
      </c>
      <c r="K51" s="28">
        <f>IFERROR('Data Sheet'!J61,0)</f>
        <v>91753.97</v>
      </c>
      <c r="L51" s="28">
        <f>IFERROR('Data Sheet'!K61,0)</f>
        <v>88002.7</v>
      </c>
      <c r="M51" s="26"/>
    </row>
    <row r="52" spans="2:13" x14ac:dyDescent="0.45">
      <c r="B52" s="1"/>
    </row>
    <row r="53" spans="2:13" x14ac:dyDescent="0.45">
      <c r="B53" s="6" t="s">
        <v>83</v>
      </c>
      <c r="C53" s="13">
        <f>IFERROR('Data Sheet'!B62,0)</f>
        <v>15106.63</v>
      </c>
      <c r="D53" s="13">
        <f>IFERROR('Data Sheet'!C62,0)</f>
        <v>15893.48</v>
      </c>
      <c r="E53" s="13">
        <f>IFERROR('Data Sheet'!D62,0)</f>
        <v>16523.96</v>
      </c>
      <c r="F53" s="13">
        <f>IFERROR('Data Sheet'!E62,0)</f>
        <v>19374.189999999999</v>
      </c>
      <c r="G53" s="13">
        <f>IFERROR('Data Sheet'!F62,0)</f>
        <v>21713.34</v>
      </c>
      <c r="H53" s="13">
        <f>IFERROR('Data Sheet'!G62,0)</f>
        <v>23298.48</v>
      </c>
      <c r="I53" s="13">
        <f>IFERROR('Data Sheet'!H62,0)</f>
        <v>24231.59</v>
      </c>
      <c r="J53" s="13">
        <f>IFERROR('Data Sheet'!I62,0)</f>
        <v>25851.27</v>
      </c>
      <c r="K53" s="13">
        <f>IFERROR('Data Sheet'!J62,0)</f>
        <v>27820.22</v>
      </c>
      <c r="L53" s="13">
        <f>IFERROR('Data Sheet'!K62,0)</f>
        <v>21954.85</v>
      </c>
    </row>
    <row r="54" spans="2:13" x14ac:dyDescent="0.45">
      <c r="B54" s="6" t="s">
        <v>37</v>
      </c>
      <c r="C54" s="13">
        <f>IFERROR('Data Sheet'!B63,0)</f>
        <v>2559.7199999999998</v>
      </c>
      <c r="D54" s="13">
        <f>IFERROR('Data Sheet'!C63,0)</f>
        <v>3729.89</v>
      </c>
      <c r="E54" s="13">
        <f>IFERROR('Data Sheet'!D63,0)</f>
        <v>5508.33</v>
      </c>
      <c r="F54" s="13">
        <f>IFERROR('Data Sheet'!E63,0)</f>
        <v>4136.42</v>
      </c>
      <c r="G54" s="13">
        <f>IFERROR('Data Sheet'!F63,0)</f>
        <v>3256.46</v>
      </c>
      <c r="H54" s="13">
        <f>IFERROR('Data Sheet'!G63,0)</f>
        <v>4011.29</v>
      </c>
      <c r="I54" s="13">
        <f>IFERROR('Data Sheet'!H63,0)</f>
        <v>3225.54</v>
      </c>
      <c r="J54" s="13">
        <f>IFERROR('Data Sheet'!I63,0)</f>
        <v>3003.3</v>
      </c>
      <c r="K54" s="13">
        <f>IFERROR('Data Sheet'!J63,0)</f>
        <v>2860.78</v>
      </c>
      <c r="L54" s="13">
        <f>IFERROR('Data Sheet'!K63,0)</f>
        <v>1090.9100000000001</v>
      </c>
    </row>
    <row r="55" spans="2:13" x14ac:dyDescent="0.45">
      <c r="B55" s="6" t="s">
        <v>38</v>
      </c>
      <c r="C55" s="13">
        <f>IFERROR('Data Sheet'!B64,0)</f>
        <v>11747.59</v>
      </c>
      <c r="D55" s="13">
        <f>IFERROR('Data Sheet'!C64,0)</f>
        <v>17581.38</v>
      </c>
      <c r="E55" s="13">
        <f>IFERROR('Data Sheet'!D64,0)</f>
        <v>22052.86</v>
      </c>
      <c r="F55" s="13">
        <f>IFERROR('Data Sheet'!E64,0)</f>
        <v>25043.49</v>
      </c>
      <c r="G55" s="13">
        <f>IFERROR('Data Sheet'!F64,0)</f>
        <v>28663.35</v>
      </c>
      <c r="H55" s="13">
        <f>IFERROR('Data Sheet'!G64,0)</f>
        <v>24870.87</v>
      </c>
      <c r="I55" s="13">
        <f>IFERROR('Data Sheet'!H64,0)</f>
        <v>24841.01</v>
      </c>
      <c r="J55" s="13">
        <f>IFERROR('Data Sheet'!I64,0)</f>
        <v>29415.02</v>
      </c>
      <c r="K55" s="13">
        <f>IFERROR('Data Sheet'!J64,0)</f>
        <v>31114.02</v>
      </c>
      <c r="L55" s="13">
        <f>IFERROR('Data Sheet'!K64,0)</f>
        <v>34719.82</v>
      </c>
    </row>
    <row r="56" spans="2:13" x14ac:dyDescent="0.45">
      <c r="B56" s="6" t="s">
        <v>39</v>
      </c>
      <c r="C56" s="13">
        <f>IFERROR('Data Sheet'!B65-SUM('Data Sheet'!B67:B69),0)</f>
        <v>5194.82</v>
      </c>
      <c r="D56" s="13">
        <f>IFERROR('Data Sheet'!C65-SUM('Data Sheet'!C67:C69),0)</f>
        <v>5135.7800000000007</v>
      </c>
      <c r="E56" s="13">
        <f>IFERROR('Data Sheet'!D65-SUM('Data Sheet'!D67:D69),0)</f>
        <v>7078.7499999999982</v>
      </c>
      <c r="F56" s="13">
        <f>IFERROR('Data Sheet'!E65-SUM('Data Sheet'!E67:E69),0)</f>
        <v>7138.07</v>
      </c>
      <c r="G56" s="13">
        <f>IFERROR('Data Sheet'!F65-SUM('Data Sheet'!F67:F69),0)</f>
        <v>4958.4499999999971</v>
      </c>
      <c r="H56" s="13">
        <f>IFERROR('Data Sheet'!G65-SUM('Data Sheet'!G67:G69),0)</f>
        <v>4022.239999999998</v>
      </c>
      <c r="I56" s="13">
        <f>IFERROR('Data Sheet'!H65-SUM('Data Sheet'!H67:H69),0)</f>
        <v>6917.41</v>
      </c>
      <c r="J56" s="13">
        <f>IFERROR('Data Sheet'!I65-SUM('Data Sheet'!I67:I69),0)</f>
        <v>7953.8499999999985</v>
      </c>
      <c r="K56" s="13">
        <f>IFERROR('Data Sheet'!J65-SUM('Data Sheet'!J67:J69),0)</f>
        <v>4562.57</v>
      </c>
      <c r="L56" s="13">
        <f>IFERROR('Data Sheet'!K65-SUM('Data Sheet'!K67:K69),0)</f>
        <v>5867.5299999999988</v>
      </c>
    </row>
    <row r="57" spans="2:13" x14ac:dyDescent="0.45">
      <c r="B57" s="27" t="s">
        <v>85</v>
      </c>
      <c r="C57" s="28">
        <f>IFERROR(SUM(C53:C56),0)</f>
        <v>34608.759999999995</v>
      </c>
      <c r="D57" s="28">
        <f t="shared" ref="D57:L57" si="18">IFERROR(SUM(D53:D56),0)</f>
        <v>42340.53</v>
      </c>
      <c r="E57" s="28">
        <f t="shared" si="18"/>
        <v>51163.9</v>
      </c>
      <c r="F57" s="28">
        <f t="shared" si="18"/>
        <v>55692.170000000006</v>
      </c>
      <c r="G57" s="28">
        <f t="shared" si="18"/>
        <v>58591.599999999991</v>
      </c>
      <c r="H57" s="28">
        <f t="shared" si="18"/>
        <v>56202.879999999997</v>
      </c>
      <c r="I57" s="28">
        <f t="shared" si="18"/>
        <v>59215.55</v>
      </c>
      <c r="J57" s="28">
        <f t="shared" si="18"/>
        <v>66223.44</v>
      </c>
      <c r="K57" s="28">
        <f t="shared" si="18"/>
        <v>66357.59</v>
      </c>
      <c r="L57" s="28">
        <f t="shared" si="18"/>
        <v>63633.11</v>
      </c>
    </row>
    <row r="58" spans="2:13" x14ac:dyDescent="0.45">
      <c r="B58" s="1"/>
    </row>
    <row r="59" spans="2:13" x14ac:dyDescent="0.45">
      <c r="B59" s="6" t="s">
        <v>40</v>
      </c>
      <c r="C59" s="13">
        <f>IFERROR('Data Sheet'!B67,0)</f>
        <v>1917.18</v>
      </c>
      <c r="D59" s="13">
        <f>IFERROR('Data Sheet'!C67,0)</f>
        <v>2474.29</v>
      </c>
      <c r="E59" s="13">
        <f>IFERROR('Data Sheet'!D67,0)</f>
        <v>2682.29</v>
      </c>
      <c r="F59" s="13">
        <f>IFERROR('Data Sheet'!E67,0)</f>
        <v>4035.28</v>
      </c>
      <c r="G59" s="13">
        <f>IFERROR('Data Sheet'!F67,0)</f>
        <v>2562.48</v>
      </c>
      <c r="H59" s="13">
        <f>IFERROR('Data Sheet'!G67,0)</f>
        <v>2501.6999999999998</v>
      </c>
      <c r="I59" s="13">
        <f>IFERROR('Data Sheet'!H67,0)</f>
        <v>2461.9</v>
      </c>
      <c r="J59" s="13">
        <f>IFERROR('Data Sheet'!I67,0)</f>
        <v>2956.17</v>
      </c>
      <c r="K59" s="13">
        <f>IFERROR('Data Sheet'!J67,0)</f>
        <v>4025.82</v>
      </c>
      <c r="L59" s="13">
        <f>IFERROR('Data Sheet'!K67,0)</f>
        <v>4719.67</v>
      </c>
    </row>
    <row r="60" spans="2:13" x14ac:dyDescent="0.45">
      <c r="B60" s="6" t="s">
        <v>41</v>
      </c>
      <c r="C60" s="13">
        <f>IFERROR('Data Sheet'!B68,0)</f>
        <v>9062.1</v>
      </c>
      <c r="D60" s="13">
        <f>IFERROR('Data Sheet'!C68,0)</f>
        <v>8116.1</v>
      </c>
      <c r="E60" s="13">
        <f>IFERROR('Data Sheet'!D68,0)</f>
        <v>7495.09</v>
      </c>
      <c r="F60" s="13">
        <f>IFERROR('Data Sheet'!E68,0)</f>
        <v>7859.56</v>
      </c>
      <c r="G60" s="13">
        <f>IFERROR('Data Sheet'!F68,0)</f>
        <v>8879.33</v>
      </c>
      <c r="H60" s="13">
        <f>IFERROR('Data Sheet'!G68,0)</f>
        <v>10397.16</v>
      </c>
      <c r="I60" s="13">
        <f>IFERROR('Data Sheet'!H68,0)</f>
        <v>10864.15</v>
      </c>
      <c r="J60" s="13">
        <f>IFERROR('Data Sheet'!I68,0)</f>
        <v>11771.16</v>
      </c>
      <c r="K60" s="13">
        <f>IFERROR('Data Sheet'!J68,0)</f>
        <v>14152.88</v>
      </c>
      <c r="L60" s="13">
        <f>IFERROR('Data Sheet'!K68,0)</f>
        <v>15637.56</v>
      </c>
    </row>
    <row r="61" spans="2:13" x14ac:dyDescent="0.45">
      <c r="B61" s="2" t="s">
        <v>42</v>
      </c>
      <c r="C61" s="13">
        <f>IFERROR('Data Sheet'!B69,0)</f>
        <v>6063.3</v>
      </c>
      <c r="D61" s="13">
        <f>IFERROR('Data Sheet'!C69,0)</f>
        <v>2967.4</v>
      </c>
      <c r="E61" s="13">
        <f>IFERROR('Data Sheet'!D69,0)</f>
        <v>2899.6</v>
      </c>
      <c r="F61" s="13">
        <f>IFERROR('Data Sheet'!E69,0)</f>
        <v>4152.03</v>
      </c>
      <c r="G61" s="13">
        <f>IFERROR('Data Sheet'!F69,0)</f>
        <v>7277.34</v>
      </c>
      <c r="H61" s="13">
        <f>IFERROR('Data Sheet'!G69,0)</f>
        <v>4659.0200000000004</v>
      </c>
      <c r="I61" s="13">
        <f>IFERROR('Data Sheet'!H69,0)</f>
        <v>4654.42</v>
      </c>
      <c r="J61" s="13">
        <f>IFERROR('Data Sheet'!I69,0)</f>
        <v>4880.1899999999996</v>
      </c>
      <c r="K61" s="13">
        <f>IFERROR('Data Sheet'!J69,0)</f>
        <v>7217.68</v>
      </c>
      <c r="L61" s="13">
        <f>IFERROR('Data Sheet'!K69,0)</f>
        <v>4012.36</v>
      </c>
    </row>
    <row r="62" spans="2:13" x14ac:dyDescent="0.45">
      <c r="B62" s="29" t="s">
        <v>86</v>
      </c>
      <c r="C62" s="28">
        <f>IFERROR(SUM(C59:C61),0)</f>
        <v>17042.580000000002</v>
      </c>
      <c r="D62" s="28">
        <f t="shared" ref="D62:L62" si="19">IFERROR(SUM(D59:D61),0)</f>
        <v>13557.789999999999</v>
      </c>
      <c r="E62" s="28">
        <f t="shared" si="19"/>
        <v>13076.980000000001</v>
      </c>
      <c r="F62" s="28">
        <f t="shared" si="19"/>
        <v>16046.869999999999</v>
      </c>
      <c r="G62" s="28">
        <f t="shared" si="19"/>
        <v>18719.150000000001</v>
      </c>
      <c r="H62" s="28">
        <f t="shared" si="19"/>
        <v>17557.88</v>
      </c>
      <c r="I62" s="28">
        <f t="shared" si="19"/>
        <v>17980.47</v>
      </c>
      <c r="J62" s="28">
        <f t="shared" si="19"/>
        <v>19607.52</v>
      </c>
      <c r="K62" s="28">
        <f t="shared" si="19"/>
        <v>25396.38</v>
      </c>
      <c r="L62" s="28">
        <f t="shared" si="19"/>
        <v>24369.59</v>
      </c>
    </row>
    <row r="63" spans="2:13" ht="14.65" thickBot="1" x14ac:dyDescent="0.5"/>
    <row r="64" spans="2:13" x14ac:dyDescent="0.45">
      <c r="B64" s="30" t="s">
        <v>84</v>
      </c>
      <c r="C64" s="31">
        <f>IFERROR(C62+C57,0)</f>
        <v>51651.34</v>
      </c>
      <c r="D64" s="31">
        <f t="shared" ref="D64:L64" si="20">IFERROR(D62+D57,0)</f>
        <v>55898.32</v>
      </c>
      <c r="E64" s="31">
        <f t="shared" si="20"/>
        <v>64240.880000000005</v>
      </c>
      <c r="F64" s="31">
        <f t="shared" si="20"/>
        <v>71739.040000000008</v>
      </c>
      <c r="G64" s="31">
        <f t="shared" si="20"/>
        <v>77310.75</v>
      </c>
      <c r="H64" s="31">
        <f t="shared" si="20"/>
        <v>73760.759999999995</v>
      </c>
      <c r="I64" s="31">
        <f t="shared" si="20"/>
        <v>77196.02</v>
      </c>
      <c r="J64" s="31">
        <f t="shared" si="20"/>
        <v>85830.96</v>
      </c>
      <c r="K64" s="31">
        <f t="shared" si="20"/>
        <v>91753.97</v>
      </c>
      <c r="L64" s="31">
        <f t="shared" si="20"/>
        <v>88002.7</v>
      </c>
    </row>
    <row r="66" spans="1:13" x14ac:dyDescent="0.45">
      <c r="B66" s="34" t="s">
        <v>87</v>
      </c>
      <c r="C66" s="34" t="b">
        <f>C64=C51</f>
        <v>1</v>
      </c>
      <c r="D66" s="34" t="b">
        <f t="shared" ref="D66:L66" si="21">D64=D51</f>
        <v>1</v>
      </c>
      <c r="E66" s="34" t="b">
        <f t="shared" si="21"/>
        <v>1</v>
      </c>
      <c r="F66" s="34" t="b">
        <f t="shared" si="21"/>
        <v>1</v>
      </c>
      <c r="G66" s="34" t="b">
        <f t="shared" si="21"/>
        <v>1</v>
      </c>
      <c r="H66" s="34" t="b">
        <f t="shared" si="21"/>
        <v>1</v>
      </c>
      <c r="I66" s="34" t="b">
        <f t="shared" si="21"/>
        <v>1</v>
      </c>
      <c r="J66" s="34" t="b">
        <f t="shared" si="21"/>
        <v>1</v>
      </c>
      <c r="K66" s="34" t="b">
        <f t="shared" si="21"/>
        <v>1</v>
      </c>
      <c r="L66" s="34" t="b">
        <f t="shared" si="21"/>
        <v>1</v>
      </c>
    </row>
    <row r="68" spans="1:13" x14ac:dyDescent="0.45">
      <c r="A68" t="s">
        <v>57</v>
      </c>
      <c r="B68" s="22" t="s">
        <v>108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x14ac:dyDescent="0.45">
      <c r="B69" s="8" t="s">
        <v>111</v>
      </c>
    </row>
    <row r="70" spans="1:13" x14ac:dyDescent="0.45">
      <c r="B70" t="s">
        <v>88</v>
      </c>
      <c r="C70" s="13">
        <f>IFERROR('Cash Flow Data'!E4,0)</f>
        <v>15154</v>
      </c>
      <c r="D70" s="13">
        <f>IFERROR('Cash Flow Data'!F4,0)</f>
        <v>16075</v>
      </c>
      <c r="E70" s="13">
        <f>IFERROR('Cash Flow Data'!G4,0)</f>
        <v>17433</v>
      </c>
      <c r="F70" s="13">
        <f>IFERROR('Cash Flow Data'!H4,0)</f>
        <v>18862</v>
      </c>
      <c r="G70" s="13">
        <f>IFERROR('Cash Flow Data'!I4,0)</f>
        <v>19416</v>
      </c>
      <c r="H70" s="13">
        <f>IFERROR('Cash Flow Data'!J4,0)</f>
        <v>17326</v>
      </c>
      <c r="I70" s="13">
        <f>IFERROR('Cash Flow Data'!K4,0)</f>
        <v>20857</v>
      </c>
      <c r="J70" s="13">
        <f>IFERROR('Cash Flow Data'!L4,0)</f>
        <v>26052</v>
      </c>
      <c r="K70" s="13">
        <f>IFERROR('Cash Flow Data'!M4,0)</f>
        <v>26635</v>
      </c>
      <c r="L70" s="13">
        <f>IFERROR('Cash Flow Data'!N4,0)</f>
        <v>26719</v>
      </c>
    </row>
    <row r="71" spans="1:13" x14ac:dyDescent="0.45">
      <c r="B71" t="s">
        <v>40</v>
      </c>
      <c r="C71" s="13">
        <f>IFERROR('Cash Flow Data'!E5,0)</f>
        <v>-207</v>
      </c>
      <c r="D71" s="13">
        <f>IFERROR('Cash Flow Data'!F5,0)</f>
        <v>-870</v>
      </c>
      <c r="E71" s="13">
        <f>IFERROR('Cash Flow Data'!G5,0)</f>
        <v>-964</v>
      </c>
      <c r="F71" s="13">
        <f>IFERROR('Cash Flow Data'!H5,0)</f>
        <v>-755</v>
      </c>
      <c r="G71" s="13">
        <f>IFERROR('Cash Flow Data'!I5,0)</f>
        <v>1411</v>
      </c>
      <c r="H71" s="13">
        <f>IFERROR('Cash Flow Data'!J5,0)</f>
        <v>-66</v>
      </c>
      <c r="I71" s="13">
        <f>IFERROR('Cash Flow Data'!K5,0)</f>
        <v>-732</v>
      </c>
      <c r="J71" s="13">
        <f>IFERROR('Cash Flow Data'!L5,0)</f>
        <v>-884</v>
      </c>
      <c r="K71" s="13">
        <f>IFERROR('Cash Flow Data'!M5,0)</f>
        <v>-934</v>
      </c>
      <c r="L71" s="13">
        <f>IFERROR('Cash Flow Data'!N5,0)</f>
        <v>-1023</v>
      </c>
    </row>
    <row r="72" spans="1:13" x14ac:dyDescent="0.45">
      <c r="B72" t="s">
        <v>41</v>
      </c>
      <c r="C72" s="13">
        <f>IFERROR('Cash Flow Data'!E6,0)</f>
        <v>-693</v>
      </c>
      <c r="D72" s="13">
        <f>IFERROR('Cash Flow Data'!F6,0)</f>
        <v>593</v>
      </c>
      <c r="E72" s="13">
        <f>IFERROR('Cash Flow Data'!G6,0)</f>
        <v>602</v>
      </c>
      <c r="F72" s="13">
        <f>IFERROR('Cash Flow Data'!H6,0)</f>
        <v>-359</v>
      </c>
      <c r="G72" s="13">
        <f>IFERROR('Cash Flow Data'!I6,0)</f>
        <v>-508</v>
      </c>
      <c r="H72" s="13">
        <f>IFERROR('Cash Flow Data'!J6,0)</f>
        <v>-1460</v>
      </c>
      <c r="I72" s="13">
        <f>IFERROR('Cash Flow Data'!K6,0)</f>
        <v>-466</v>
      </c>
      <c r="J72" s="13">
        <f>IFERROR('Cash Flow Data'!L6,0)</f>
        <v>-1098</v>
      </c>
      <c r="K72" s="13">
        <f>IFERROR('Cash Flow Data'!M6,0)</f>
        <v>-2545</v>
      </c>
      <c r="L72" s="13">
        <f>IFERROR('Cash Flow Data'!N6,0)</f>
        <v>-2975</v>
      </c>
    </row>
    <row r="73" spans="1:13" x14ac:dyDescent="0.45">
      <c r="B73" t="s">
        <v>89</v>
      </c>
      <c r="C73" s="13">
        <f>IFERROR('Cash Flow Data'!E7,0)</f>
        <v>622</v>
      </c>
      <c r="D73" s="13">
        <f>IFERROR('Cash Flow Data'!F7,0)</f>
        <v>321</v>
      </c>
      <c r="E73" s="13">
        <f>IFERROR('Cash Flow Data'!G7,0)</f>
        <v>2098</v>
      </c>
      <c r="F73" s="13">
        <f>IFERROR('Cash Flow Data'!H7,0)</f>
        <v>639</v>
      </c>
      <c r="G73" s="13">
        <f>IFERROR('Cash Flow Data'!I7,0)</f>
        <v>-607</v>
      </c>
      <c r="H73" s="13">
        <f>IFERROR('Cash Flow Data'!J7,0)</f>
        <v>1112</v>
      </c>
      <c r="I73" s="13">
        <f>IFERROR('Cash Flow Data'!K7,0)</f>
        <v>1099</v>
      </c>
      <c r="J73" s="13">
        <f>IFERROR('Cash Flow Data'!L7,0)</f>
        <v>1058</v>
      </c>
      <c r="K73" s="13">
        <f>IFERROR('Cash Flow Data'!M7,0)</f>
        <v>141</v>
      </c>
      <c r="L73" s="13">
        <f>IFERROR('Cash Flow Data'!N7,0)</f>
        <v>1256</v>
      </c>
    </row>
    <row r="74" spans="1:13" x14ac:dyDescent="0.45">
      <c r="B74" t="s">
        <v>90</v>
      </c>
      <c r="C74" s="13">
        <f>IFERROR('Cash Flow Data'!E8,0)</f>
        <v>-277</v>
      </c>
      <c r="D74" s="13">
        <f>IFERROR('Cash Flow Data'!F8,0)</f>
        <v>44</v>
      </c>
      <c r="E74" s="13">
        <f>IFERROR('Cash Flow Data'!G8,0)</f>
        <v>1736</v>
      </c>
      <c r="F74" s="13">
        <f>IFERROR('Cash Flow Data'!H8,0)</f>
        <v>-476</v>
      </c>
      <c r="G74" s="13">
        <f>IFERROR('Cash Flow Data'!I8,0)</f>
        <v>296</v>
      </c>
      <c r="H74" s="13">
        <f>IFERROR('Cash Flow Data'!J8,0)</f>
        <v>-413</v>
      </c>
      <c r="I74" s="13">
        <f>IFERROR('Cash Flow Data'!K8,0)</f>
        <v>-100</v>
      </c>
      <c r="J74" s="13">
        <f>IFERROR('Cash Flow Data'!L8,0)</f>
        <v>-924</v>
      </c>
      <c r="K74" s="13">
        <f>IFERROR('Cash Flow Data'!M8,0)</f>
        <v>-3337</v>
      </c>
      <c r="L74" s="13">
        <f>IFERROR('Cash Flow Data'!N8,0)</f>
        <v>-2742</v>
      </c>
    </row>
    <row r="75" spans="1:13" x14ac:dyDescent="0.45">
      <c r="B75" t="s">
        <v>91</v>
      </c>
      <c r="C75" s="13">
        <f>IFERROR('Cash Flow Data'!E9,0)</f>
        <v>-5078</v>
      </c>
      <c r="D75" s="13">
        <f>IFERROR('Cash Flow Data'!F9,0)</f>
        <v>-5492</v>
      </c>
      <c r="E75" s="13">
        <f>IFERROR('Cash Flow Data'!G9,0)</f>
        <v>-6000</v>
      </c>
      <c r="F75" s="13">
        <f>IFERROR('Cash Flow Data'!H9,0)</f>
        <v>-5803</v>
      </c>
      <c r="G75" s="13">
        <f>IFERROR('Cash Flow Data'!I9,0)</f>
        <v>-5023</v>
      </c>
      <c r="H75" s="13">
        <f>IFERROR('Cash Flow Data'!J9,0)</f>
        <v>-4387</v>
      </c>
      <c r="I75" s="13">
        <f>IFERROR('Cash Flow Data'!K9,0)</f>
        <v>-4982</v>
      </c>
      <c r="J75" s="13">
        <f>IFERROR('Cash Flow Data'!L9,0)</f>
        <v>-6250</v>
      </c>
      <c r="K75" s="13">
        <f>IFERROR('Cash Flow Data'!M9,0)</f>
        <v>-6120</v>
      </c>
      <c r="L75" s="13">
        <f>IFERROR('Cash Flow Data'!N9,0)</f>
        <v>-6350</v>
      </c>
    </row>
    <row r="76" spans="1:13" x14ac:dyDescent="0.45">
      <c r="B76" t="s">
        <v>116</v>
      </c>
      <c r="C76" s="13">
        <f>IFERROR('Cash Flow Data'!E10,0)</f>
        <v>-3921</v>
      </c>
      <c r="D76" s="13">
        <f>IFERROR('Cash Flow Data'!F10,0)</f>
        <v>-3251</v>
      </c>
      <c r="E76" s="13">
        <f>IFERROR('Cash Flow Data'!G10,0)</f>
        <v>-7114</v>
      </c>
      <c r="F76" s="13">
        <f>IFERROR('Cash Flow Data'!H10,0)</f>
        <v>-5546</v>
      </c>
      <c r="G76" s="13">
        <f>IFERROR('Cash Flow Data'!I10,0)</f>
        <v>-6174</v>
      </c>
      <c r="H76" s="13">
        <f>IFERROR('Cash Flow Data'!J10,0)</f>
        <v>5740</v>
      </c>
      <c r="I76" s="13">
        <f>IFERROR('Cash Flow Data'!K10,0)</f>
        <v>-2238</v>
      </c>
      <c r="J76" s="13">
        <f>IFERROR('Cash Flow Data'!L10,0)</f>
        <v>-5732</v>
      </c>
      <c r="K76" s="13">
        <f>IFERROR('Cash Flow Data'!M10,0)</f>
        <v>1563</v>
      </c>
      <c r="L76" s="13">
        <f>IFERROR('Cash Flow Data'!N10,0)</f>
        <v>-564</v>
      </c>
    </row>
    <row r="77" spans="1:13" x14ac:dyDescent="0.45">
      <c r="B77" t="s">
        <v>92</v>
      </c>
      <c r="C77" s="13">
        <f>IFERROR('Cash Flow Data'!E11,0)</f>
        <v>-2348</v>
      </c>
      <c r="D77" s="13">
        <f>IFERROR('Cash Flow Data'!F11,0)</f>
        <v>-3122</v>
      </c>
      <c r="E77" s="13">
        <f>IFERROR('Cash Flow Data'!G11,0)</f>
        <v>-2878</v>
      </c>
      <c r="F77" s="13">
        <f>IFERROR('Cash Flow Data'!H11,0)</f>
        <v>-3169</v>
      </c>
      <c r="G77" s="13">
        <f>IFERROR('Cash Flow Data'!I11,0)</f>
        <v>-2441</v>
      </c>
      <c r="H77" s="13">
        <f>IFERROR('Cash Flow Data'!J11,0)</f>
        <v>-1837</v>
      </c>
      <c r="I77" s="13">
        <f>IFERROR('Cash Flow Data'!K11,0)</f>
        <v>-2142</v>
      </c>
      <c r="J77" s="13">
        <f>IFERROR('Cash Flow Data'!L11,0)</f>
        <v>-2743</v>
      </c>
      <c r="K77" s="13">
        <f>IFERROR('Cash Flow Data'!M11,0)</f>
        <v>-3563</v>
      </c>
      <c r="L77" s="13">
        <f>IFERROR('Cash Flow Data'!N11,0)</f>
        <v>-2279</v>
      </c>
    </row>
    <row r="78" spans="1:13" x14ac:dyDescent="0.45">
      <c r="B78" s="39" t="s">
        <v>109</v>
      </c>
      <c r="C78" s="40">
        <f>IFERROR(SUM(C70:C77),0)</f>
        <v>3252</v>
      </c>
      <c r="D78" s="40">
        <f t="shared" ref="D78:L78" si="22">IFERROR(SUM(D70:D77),0)</f>
        <v>4298</v>
      </c>
      <c r="E78" s="40">
        <f t="shared" si="22"/>
        <v>4913</v>
      </c>
      <c r="F78" s="40">
        <f t="shared" si="22"/>
        <v>3393</v>
      </c>
      <c r="G78" s="40">
        <f t="shared" si="22"/>
        <v>6370</v>
      </c>
      <c r="H78" s="40">
        <f t="shared" si="22"/>
        <v>16015</v>
      </c>
      <c r="I78" s="40">
        <f t="shared" si="22"/>
        <v>11296</v>
      </c>
      <c r="J78" s="40">
        <f t="shared" si="22"/>
        <v>9479</v>
      </c>
      <c r="K78" s="40">
        <f t="shared" si="22"/>
        <v>11840</v>
      </c>
      <c r="L78" s="40">
        <f t="shared" si="22"/>
        <v>12042</v>
      </c>
    </row>
    <row r="80" spans="1:13" x14ac:dyDescent="0.45">
      <c r="B80" s="35" t="s">
        <v>112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</row>
    <row r="81" spans="2:12" x14ac:dyDescent="0.45">
      <c r="B81" t="s">
        <v>92</v>
      </c>
      <c r="C81" s="13">
        <f>IFERROR('Cash Flow Data'!E11,0)</f>
        <v>-2348</v>
      </c>
      <c r="D81" s="13">
        <f>IFERROR('Cash Flow Data'!F11,0)</f>
        <v>-3122</v>
      </c>
      <c r="E81" s="13">
        <f>IFERROR('Cash Flow Data'!G11,0)</f>
        <v>-2878</v>
      </c>
      <c r="F81" s="13">
        <f>IFERROR('Cash Flow Data'!H11,0)</f>
        <v>-3169</v>
      </c>
      <c r="G81" s="13">
        <f>IFERROR('Cash Flow Data'!I11,0)</f>
        <v>-2441</v>
      </c>
      <c r="H81" s="13">
        <f>IFERROR('Cash Flow Data'!J11,0)</f>
        <v>-1837</v>
      </c>
      <c r="I81" s="13">
        <f>IFERROR('Cash Flow Data'!K11,0)</f>
        <v>-2142</v>
      </c>
      <c r="J81" s="13">
        <f>IFERROR('Cash Flow Data'!L11,0)</f>
        <v>-2743</v>
      </c>
      <c r="K81" s="13">
        <f>IFERROR('Cash Flow Data'!M11,0)</f>
        <v>-3563</v>
      </c>
      <c r="L81" s="13">
        <f>IFERROR('Cash Flow Data'!N11,0)</f>
        <v>-2279</v>
      </c>
    </row>
    <row r="82" spans="2:12" x14ac:dyDescent="0.45">
      <c r="B82" t="s">
        <v>93</v>
      </c>
      <c r="C82" s="13">
        <f>IFERROR('Cash Flow Data'!E12,0)</f>
        <v>8</v>
      </c>
      <c r="D82" s="13">
        <f>IFERROR('Cash Flow Data'!F12,0)</f>
        <v>50</v>
      </c>
      <c r="E82" s="13">
        <f>IFERROR('Cash Flow Data'!G12,0)</f>
        <v>80</v>
      </c>
      <c r="F82" s="13">
        <f>IFERROR('Cash Flow Data'!H12,0)</f>
        <v>28</v>
      </c>
      <c r="G82" s="13">
        <f>IFERROR('Cash Flow Data'!I12,0)</f>
        <v>27</v>
      </c>
      <c r="H82" s="13">
        <f>IFERROR('Cash Flow Data'!J12,0)</f>
        <v>3</v>
      </c>
      <c r="I82" s="13">
        <f>IFERROR('Cash Flow Data'!K12,0)</f>
        <v>133</v>
      </c>
      <c r="J82" s="13">
        <f>IFERROR('Cash Flow Data'!L12,0)</f>
        <v>49</v>
      </c>
      <c r="K82" s="13">
        <f>IFERROR('Cash Flow Data'!M12,0)</f>
        <v>107</v>
      </c>
      <c r="L82" s="13">
        <f>IFERROR('Cash Flow Data'!N12,0)</f>
        <v>175</v>
      </c>
    </row>
    <row r="83" spans="2:12" x14ac:dyDescent="0.45">
      <c r="B83" t="s">
        <v>94</v>
      </c>
      <c r="C83" s="13">
        <f>IFERROR('Cash Flow Data'!E13,0)</f>
        <v>-154081</v>
      </c>
      <c r="D83" s="13">
        <f>IFERROR('Cash Flow Data'!F13,0)</f>
        <v>-85683</v>
      </c>
      <c r="E83" s="13">
        <f>IFERROR('Cash Flow Data'!G13,0)</f>
        <v>-98330</v>
      </c>
      <c r="F83" s="13">
        <f>IFERROR('Cash Flow Data'!H13,0)</f>
        <v>-94187</v>
      </c>
      <c r="G83" s="13">
        <f>IFERROR('Cash Flow Data'!I13,0)</f>
        <v>-79835</v>
      </c>
      <c r="H83" s="13">
        <f>IFERROR('Cash Flow Data'!J13,0)</f>
        <v>-57553</v>
      </c>
      <c r="I83" s="13">
        <f>IFERROR('Cash Flow Data'!K13,0)</f>
        <v>-69776</v>
      </c>
      <c r="J83" s="13">
        <f>IFERROR('Cash Flow Data'!L13,0)</f>
        <v>-80932</v>
      </c>
      <c r="K83" s="13">
        <f>IFERROR('Cash Flow Data'!M13,0)</f>
        <v>-75107</v>
      </c>
      <c r="L83" s="13">
        <f>IFERROR('Cash Flow Data'!N13,0)</f>
        <v>-66373</v>
      </c>
    </row>
    <row r="84" spans="2:12" x14ac:dyDescent="0.45">
      <c r="B84" t="s">
        <v>95</v>
      </c>
      <c r="C84" s="13">
        <f>IFERROR('Cash Flow Data'!E14,0)</f>
        <v>150651</v>
      </c>
      <c r="D84" s="13">
        <f>IFERROR('Cash Flow Data'!F14,0)</f>
        <v>81034</v>
      </c>
      <c r="E84" s="13">
        <f>IFERROR('Cash Flow Data'!G14,0)</f>
        <v>95017</v>
      </c>
      <c r="F84" s="13">
        <f>IFERROR('Cash Flow Data'!H14,0)</f>
        <v>92454</v>
      </c>
      <c r="G84" s="13">
        <f>IFERROR('Cash Flow Data'!I14,0)</f>
        <v>75835</v>
      </c>
      <c r="H84" s="13">
        <f>IFERROR('Cash Flow Data'!J14,0)</f>
        <v>62797</v>
      </c>
      <c r="I84" s="13">
        <f>IFERROR('Cash Flow Data'!K14,0)</f>
        <v>70992</v>
      </c>
      <c r="J84" s="13">
        <f>IFERROR('Cash Flow Data'!L14,0)</f>
        <v>77230</v>
      </c>
      <c r="K84" s="13">
        <f>IFERROR('Cash Flow Data'!M14,0)</f>
        <v>77830</v>
      </c>
      <c r="L84" s="13">
        <f>IFERROR('Cash Flow Data'!N14,0)</f>
        <v>67311</v>
      </c>
    </row>
    <row r="85" spans="2:12" x14ac:dyDescent="0.45">
      <c r="B85" t="s">
        <v>96</v>
      </c>
      <c r="C85" s="13">
        <f>IFERROR('Cash Flow Data'!E15,0)</f>
        <v>741</v>
      </c>
      <c r="D85" s="13">
        <f>IFERROR('Cash Flow Data'!F15,0)</f>
        <v>756</v>
      </c>
      <c r="E85" s="13">
        <f>IFERROR('Cash Flow Data'!G15,0)</f>
        <v>736</v>
      </c>
      <c r="F85" s="13">
        <f>IFERROR('Cash Flow Data'!H15,0)</f>
        <v>1184</v>
      </c>
      <c r="G85" s="13">
        <f>IFERROR('Cash Flow Data'!I15,0)</f>
        <v>1513</v>
      </c>
      <c r="H85" s="13">
        <f>IFERROR('Cash Flow Data'!J15,0)</f>
        <v>1275</v>
      </c>
      <c r="I85" s="13">
        <f>IFERROR('Cash Flow Data'!K15,0)</f>
        <v>1035</v>
      </c>
      <c r="J85" s="13">
        <f>IFERROR('Cash Flow Data'!L15,0)</f>
        <v>1324</v>
      </c>
      <c r="K85" s="13">
        <f>IFERROR('Cash Flow Data'!M15,0)</f>
        <v>1138</v>
      </c>
      <c r="L85" s="13">
        <f>IFERROR('Cash Flow Data'!N15,0)</f>
        <v>1072</v>
      </c>
    </row>
    <row r="86" spans="2:12" x14ac:dyDescent="0.45">
      <c r="B86" t="s">
        <v>97</v>
      </c>
      <c r="C86" s="13">
        <f>IFERROR('Cash Flow Data'!E16,0)</f>
        <v>64</v>
      </c>
      <c r="D86" s="13">
        <f>IFERROR('Cash Flow Data'!F16,0)</f>
        <v>4</v>
      </c>
      <c r="E86" s="13">
        <f>IFERROR('Cash Flow Data'!G16,0)</f>
        <v>13</v>
      </c>
      <c r="F86" s="13">
        <f>IFERROR('Cash Flow Data'!H16,0)</f>
        <v>13</v>
      </c>
      <c r="G86" s="13">
        <f>IFERROR('Cash Flow Data'!I16,0)</f>
        <v>17</v>
      </c>
      <c r="H86" s="13">
        <f>IFERROR('Cash Flow Data'!J16,0)</f>
        <v>7</v>
      </c>
      <c r="I86" s="13">
        <f>IFERROR('Cash Flow Data'!K16,0)</f>
        <v>16</v>
      </c>
      <c r="J86" s="13">
        <f>IFERROR('Cash Flow Data'!L16,0)</f>
        <v>19</v>
      </c>
      <c r="K86" s="13">
        <f>IFERROR('Cash Flow Data'!M16,0)</f>
        <v>36</v>
      </c>
      <c r="L86" s="13">
        <f>IFERROR('Cash Flow Data'!N16,0)</f>
        <v>38</v>
      </c>
    </row>
    <row r="87" spans="2:12" x14ac:dyDescent="0.45">
      <c r="B87" t="s">
        <v>117</v>
      </c>
      <c r="C87" s="13">
        <f>IFERROR('Cash Flow Data'!E17,0)</f>
        <v>-8</v>
      </c>
      <c r="D87" s="13">
        <f>IFERROR('Cash Flow Data'!F17,0)</f>
        <v>0</v>
      </c>
      <c r="E87" s="13">
        <f>IFERROR('Cash Flow Data'!G17,0)</f>
        <v>0</v>
      </c>
      <c r="F87" s="13">
        <f>IFERROR('Cash Flow Data'!H17,0)</f>
        <v>0</v>
      </c>
      <c r="G87" s="13">
        <f>IFERROR('Cash Flow Data'!I17,0)</f>
        <v>0</v>
      </c>
      <c r="H87" s="13">
        <f>IFERROR('Cash Flow Data'!J17,0)</f>
        <v>0</v>
      </c>
      <c r="I87" s="13">
        <f>IFERROR('Cash Flow Data'!K17,0)</f>
        <v>0</v>
      </c>
      <c r="J87" s="13">
        <f>IFERROR('Cash Flow Data'!L17,0)</f>
        <v>0</v>
      </c>
      <c r="K87" s="13">
        <f>IFERROR('Cash Flow Data'!M17,0)</f>
        <v>0</v>
      </c>
      <c r="L87" s="13">
        <f>IFERROR('Cash Flow Data'!N17,0)</f>
        <v>0</v>
      </c>
    </row>
    <row r="88" spans="2:12" x14ac:dyDescent="0.45">
      <c r="B88" t="s">
        <v>98</v>
      </c>
      <c r="C88" s="13">
        <f>IFERROR('Cash Flow Data'!E18,0)</f>
        <v>0</v>
      </c>
      <c r="D88" s="13">
        <f>IFERROR('Cash Flow Data'!F18,0)</f>
        <v>0</v>
      </c>
      <c r="E88" s="13">
        <f>IFERROR('Cash Flow Data'!G18,0)</f>
        <v>0</v>
      </c>
      <c r="F88" s="13">
        <f>IFERROR('Cash Flow Data'!H18,0)</f>
        <v>0</v>
      </c>
      <c r="G88" s="13">
        <f>IFERROR('Cash Flow Data'!I18,0)</f>
        <v>0</v>
      </c>
      <c r="H88" s="13">
        <f>IFERROR('Cash Flow Data'!J18,0)</f>
        <v>-2</v>
      </c>
      <c r="I88" s="13">
        <f>IFERROR('Cash Flow Data'!K18,0)</f>
        <v>-2</v>
      </c>
      <c r="J88" s="13">
        <f>IFERROR('Cash Flow Data'!L18,0)</f>
        <v>-2</v>
      </c>
      <c r="K88" s="13">
        <f>IFERROR('Cash Flow Data'!M18,0)</f>
        <v>-65</v>
      </c>
      <c r="L88" s="13">
        <f>IFERROR('Cash Flow Data'!N18,0)</f>
        <v>-30</v>
      </c>
    </row>
    <row r="89" spans="2:12" x14ac:dyDescent="0.45">
      <c r="B89" t="s">
        <v>99</v>
      </c>
      <c r="C89" s="13">
        <f>IFERROR('Cash Flow Data'!E19,0)</f>
        <v>0</v>
      </c>
      <c r="D89" s="13">
        <f>IFERROR('Cash Flow Data'!F19,0)</f>
        <v>129</v>
      </c>
      <c r="E89" s="13">
        <f>IFERROR('Cash Flow Data'!G19,0)</f>
        <v>18</v>
      </c>
      <c r="F89" s="13">
        <f>IFERROR('Cash Flow Data'!H19,0)</f>
        <v>18</v>
      </c>
      <c r="G89" s="13">
        <f>IFERROR('Cash Flow Data'!I19,0)</f>
        <v>0</v>
      </c>
      <c r="H89" s="13">
        <f>IFERROR('Cash Flow Data'!J19,0)</f>
        <v>0</v>
      </c>
      <c r="I89" s="13">
        <f>IFERROR('Cash Flow Data'!K19,0)</f>
        <v>0</v>
      </c>
      <c r="J89" s="13">
        <f>IFERROR('Cash Flow Data'!L19,0)</f>
        <v>56</v>
      </c>
      <c r="K89" s="13">
        <f>IFERROR('Cash Flow Data'!M19,0)</f>
        <v>0</v>
      </c>
      <c r="L89" s="13">
        <f>IFERROR('Cash Flow Data'!N19,0)</f>
        <v>0</v>
      </c>
    </row>
    <row r="90" spans="2:12" x14ac:dyDescent="0.45">
      <c r="B90" t="s">
        <v>100</v>
      </c>
      <c r="C90" s="13">
        <f>IFERROR('Cash Flow Data'!E20,0)</f>
        <v>1052</v>
      </c>
      <c r="D90" s="13">
        <f>IFERROR('Cash Flow Data'!F20,0)</f>
        <v>3579</v>
      </c>
      <c r="E90" s="13">
        <f>IFERROR('Cash Flow Data'!G20,0)</f>
        <v>-1769</v>
      </c>
      <c r="F90" s="13">
        <f>IFERROR('Cash Flow Data'!H20,0)</f>
        <v>-1887</v>
      </c>
      <c r="G90" s="13">
        <f>IFERROR('Cash Flow Data'!I20,0)</f>
        <v>-1290</v>
      </c>
      <c r="H90" s="13">
        <f>IFERROR('Cash Flow Data'!J20,0)</f>
        <v>1051</v>
      </c>
      <c r="I90" s="13">
        <f>IFERROR('Cash Flow Data'!K20,0)</f>
        <v>-2494</v>
      </c>
      <c r="J90" s="13">
        <f>IFERROR('Cash Flow Data'!L20,0)</f>
        <v>-733</v>
      </c>
      <c r="K90" s="13">
        <f>IFERROR('Cash Flow Data'!M20,0)</f>
        <v>1187</v>
      </c>
      <c r="L90" s="13">
        <f>IFERROR('Cash Flow Data'!N20,0)</f>
        <v>-478</v>
      </c>
    </row>
    <row r="91" spans="2:12" x14ac:dyDescent="0.45"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2:12" x14ac:dyDescent="0.45">
      <c r="B92" s="39" t="s">
        <v>110</v>
      </c>
      <c r="C92" s="40">
        <f>IFERROR(SUM(C81:C91),0)</f>
        <v>-3921</v>
      </c>
      <c r="D92" s="40">
        <f t="shared" ref="D92:L92" si="23">IFERROR(SUM(D81:D91),0)</f>
        <v>-3253</v>
      </c>
      <c r="E92" s="40">
        <f t="shared" si="23"/>
        <v>-7113</v>
      </c>
      <c r="F92" s="40">
        <f t="shared" si="23"/>
        <v>-5546</v>
      </c>
      <c r="G92" s="40">
        <f t="shared" si="23"/>
        <v>-6174</v>
      </c>
      <c r="H92" s="40">
        <f t="shared" si="23"/>
        <v>5741</v>
      </c>
      <c r="I92" s="40">
        <f t="shared" si="23"/>
        <v>-2238</v>
      </c>
      <c r="J92" s="40">
        <f t="shared" si="23"/>
        <v>-5732</v>
      </c>
      <c r="K92" s="40">
        <f t="shared" si="23"/>
        <v>1563</v>
      </c>
      <c r="L92" s="40">
        <f t="shared" si="23"/>
        <v>-564</v>
      </c>
    </row>
    <row r="94" spans="2:12" x14ac:dyDescent="0.45">
      <c r="B94" s="35" t="s">
        <v>113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</row>
    <row r="95" spans="2:12" x14ac:dyDescent="0.45">
      <c r="B95" t="s">
        <v>101</v>
      </c>
      <c r="C95" s="13">
        <f>IFERROR('Cash Flow Data'!E22,0)</f>
        <v>532</v>
      </c>
      <c r="D95" s="13">
        <f>IFERROR('Cash Flow Data'!F22,0)</f>
        <v>1067</v>
      </c>
      <c r="E95" s="13">
        <f>IFERROR('Cash Flow Data'!G22,0)</f>
        <v>913</v>
      </c>
      <c r="F95" s="13">
        <f>IFERROR('Cash Flow Data'!H22,0)</f>
        <v>969</v>
      </c>
      <c r="G95" s="13">
        <f>IFERROR('Cash Flow Data'!I22,0)</f>
        <v>625</v>
      </c>
      <c r="H95" s="13">
        <f>IFERROR('Cash Flow Data'!J22,0)</f>
        <v>291</v>
      </c>
      <c r="I95" s="13">
        <f>IFERROR('Cash Flow Data'!K22,0)</f>
        <v>292</v>
      </c>
      <c r="J95" s="13">
        <f>IFERROR('Cash Flow Data'!L22,0)</f>
        <v>2477</v>
      </c>
      <c r="K95" s="13">
        <f>IFERROR('Cash Flow Data'!M22,0)</f>
        <v>1443</v>
      </c>
      <c r="L95" s="13">
        <f>IFERROR('Cash Flow Data'!N22,0)</f>
        <v>797</v>
      </c>
    </row>
    <row r="96" spans="2:12" x14ac:dyDescent="0.45">
      <c r="B96" t="s">
        <v>102</v>
      </c>
      <c r="C96" s="13">
        <f>IFERROR('Cash Flow Data'!E23,0)</f>
        <v>0</v>
      </c>
      <c r="D96" s="13">
        <f>IFERROR('Cash Flow Data'!F23,0)</f>
        <v>0</v>
      </c>
      <c r="E96" s="13">
        <f>IFERROR('Cash Flow Data'!G23,0)</f>
        <v>11</v>
      </c>
      <c r="F96" s="13">
        <f>IFERROR('Cash Flow Data'!H23,0)</f>
        <v>0</v>
      </c>
      <c r="G96" s="13">
        <f>IFERROR('Cash Flow Data'!I23,0)</f>
        <v>0</v>
      </c>
      <c r="H96" s="13">
        <f>IFERROR('Cash Flow Data'!J23,0)</f>
        <v>0</v>
      </c>
      <c r="I96" s="13">
        <f>IFERROR('Cash Flow Data'!K23,0)</f>
        <v>0</v>
      </c>
      <c r="J96" s="13">
        <f>IFERROR('Cash Flow Data'!L23,0)</f>
        <v>0</v>
      </c>
      <c r="K96" s="13">
        <f>IFERROR('Cash Flow Data'!M23,0)</f>
        <v>8</v>
      </c>
      <c r="L96" s="13">
        <f>IFERROR('Cash Flow Data'!N23,0)</f>
        <v>90</v>
      </c>
    </row>
    <row r="97" spans="2:12" x14ac:dyDescent="0.45">
      <c r="B97" t="s">
        <v>103</v>
      </c>
      <c r="C97" s="13">
        <f>IFERROR('Cash Flow Data'!E24,0)</f>
        <v>-13</v>
      </c>
      <c r="D97" s="13">
        <f>IFERROR('Cash Flow Data'!F24,0)</f>
        <v>-13</v>
      </c>
      <c r="E97" s="13">
        <f>IFERROR('Cash Flow Data'!G24,0)</f>
        <v>-8</v>
      </c>
      <c r="F97" s="13">
        <f>IFERROR('Cash Flow Data'!H24,0)</f>
        <v>-18</v>
      </c>
      <c r="G97" s="13">
        <f>IFERROR('Cash Flow Data'!I24,0)</f>
        <v>-3</v>
      </c>
      <c r="H97" s="13">
        <f>IFERROR('Cash Flow Data'!J24,0)</f>
        <v>-2</v>
      </c>
      <c r="I97" s="13">
        <f>IFERROR('Cash Flow Data'!K24,0)</f>
        <v>-1</v>
      </c>
      <c r="J97" s="13">
        <f>IFERROR('Cash Flow Data'!L24,0)</f>
        <v>-1</v>
      </c>
      <c r="K97" s="13">
        <f>IFERROR('Cash Flow Data'!M24,0)</f>
        <v>-2</v>
      </c>
      <c r="L97" s="13">
        <f>IFERROR('Cash Flow Data'!N24,0)</f>
        <v>-54</v>
      </c>
    </row>
    <row r="98" spans="2:12" x14ac:dyDescent="0.45">
      <c r="B98" t="s">
        <v>104</v>
      </c>
      <c r="C98" s="13">
        <f>IFERROR('Cash Flow Data'!E25,0)</f>
        <v>-28</v>
      </c>
      <c r="D98" s="13">
        <f>IFERROR('Cash Flow Data'!F25,0)</f>
        <v>-25</v>
      </c>
      <c r="E98" s="13">
        <f>IFERROR('Cash Flow Data'!G25,0)</f>
        <v>-49</v>
      </c>
      <c r="F98" s="13">
        <f>IFERROR('Cash Flow Data'!H25,0)</f>
        <v>-98</v>
      </c>
      <c r="G98" s="13">
        <f>IFERROR('Cash Flow Data'!I25,0)</f>
        <v>-44</v>
      </c>
      <c r="H98" s="13">
        <f>IFERROR('Cash Flow Data'!J25,0)</f>
        <v>-41</v>
      </c>
      <c r="I98" s="13">
        <f>IFERROR('Cash Flow Data'!K25,0)</f>
        <v>-40</v>
      </c>
      <c r="J98" s="13">
        <f>IFERROR('Cash Flow Data'!L25,0)</f>
        <v>-41</v>
      </c>
      <c r="K98" s="13">
        <f>IFERROR('Cash Flow Data'!M25,0)</f>
        <v>-46</v>
      </c>
      <c r="L98" s="13">
        <f>IFERROR('Cash Flow Data'!N25,0)</f>
        <v>-50</v>
      </c>
    </row>
    <row r="99" spans="2:12" x14ac:dyDescent="0.45">
      <c r="B99" t="s">
        <v>105</v>
      </c>
      <c r="C99" s="13">
        <f>IFERROR('Cash Flow Data'!E26,0)</f>
        <v>-5133</v>
      </c>
      <c r="D99" s="13">
        <f>IFERROR('Cash Flow Data'!F26,0)</f>
        <v>-6994</v>
      </c>
      <c r="E99" s="13">
        <f>IFERROR('Cash Flow Data'!G26,0)</f>
        <v>-5952</v>
      </c>
      <c r="F99" s="13">
        <f>IFERROR('Cash Flow Data'!H26,0)</f>
        <v>-6519</v>
      </c>
      <c r="G99" s="13">
        <f>IFERROR('Cash Flow Data'!I26,0)</f>
        <v>-7302</v>
      </c>
      <c r="H99" s="13">
        <f>IFERROR('Cash Flow Data'!J26,0)</f>
        <v>-18881</v>
      </c>
      <c r="I99" s="13">
        <f>IFERROR('Cash Flow Data'!K26,0)</f>
        <v>-13788</v>
      </c>
      <c r="J99" s="13">
        <f>IFERROR('Cash Flow Data'!L26,0)</f>
        <v>-15418</v>
      </c>
      <c r="K99" s="13">
        <f>IFERROR('Cash Flow Data'!M26,0)</f>
        <v>-19899</v>
      </c>
      <c r="L99" s="13">
        <f>IFERROR('Cash Flow Data'!N26,0)</f>
        <v>-17782</v>
      </c>
    </row>
    <row r="100" spans="2:12" x14ac:dyDescent="0.45">
      <c r="B100" t="s">
        <v>106</v>
      </c>
      <c r="C100" s="13">
        <f>IFERROR('Cash Flow Data'!E27,0)</f>
        <v>0</v>
      </c>
      <c r="D100" s="13">
        <f>IFERROR('Cash Flow Data'!F27,0)</f>
        <v>0</v>
      </c>
      <c r="E100" s="13">
        <f>IFERROR('Cash Flow Data'!G27,0)</f>
        <v>0</v>
      </c>
      <c r="F100" s="13">
        <f>IFERROR('Cash Flow Data'!H27,0)</f>
        <v>0</v>
      </c>
      <c r="G100" s="13">
        <f>IFERROR('Cash Flow Data'!I27,0)</f>
        <v>-49</v>
      </c>
      <c r="H100" s="13">
        <f>IFERROR('Cash Flow Data'!J27,0)</f>
        <v>-55</v>
      </c>
      <c r="I100" s="13">
        <f>IFERROR('Cash Flow Data'!K27,0)</f>
        <v>-59</v>
      </c>
      <c r="J100" s="13">
        <f>IFERROR('Cash Flow Data'!L27,0)</f>
        <v>-59</v>
      </c>
      <c r="K100" s="13">
        <f>IFERROR('Cash Flow Data'!M27,0)</f>
        <v>-67</v>
      </c>
      <c r="L100" s="13">
        <f>IFERROR('Cash Flow Data'!N27,0)</f>
        <v>-66</v>
      </c>
    </row>
    <row r="101" spans="2:12" x14ac:dyDescent="0.45">
      <c r="B101" t="s">
        <v>107</v>
      </c>
      <c r="C101" s="13">
        <f>IFERROR('Cash Flow Data'!E28,0)</f>
        <v>-971</v>
      </c>
      <c r="D101" s="13">
        <f>IFERROR('Cash Flow Data'!F28,0)</f>
        <v>-1335</v>
      </c>
      <c r="E101" s="13">
        <f>IFERROR('Cash Flow Data'!G28,0)</f>
        <v>-1136</v>
      </c>
      <c r="F101" s="13">
        <f>IFERROR('Cash Flow Data'!H28,0)</f>
        <v>-1203</v>
      </c>
      <c r="G101" s="13">
        <f>IFERROR('Cash Flow Data'!I28,0)</f>
        <v>-1409</v>
      </c>
      <c r="H101" s="13">
        <f>IFERROR('Cash Flow Data'!J28,0)</f>
        <v>55</v>
      </c>
      <c r="I101" s="13">
        <f>IFERROR('Cash Flow Data'!K28,0)</f>
        <v>15</v>
      </c>
      <c r="J101" s="13">
        <f>IFERROR('Cash Flow Data'!L28,0)</f>
        <v>35</v>
      </c>
      <c r="K101" s="13">
        <f>IFERROR('Cash Flow Data'!M28,0)</f>
        <v>12</v>
      </c>
      <c r="L101" s="13">
        <f>IFERROR('Cash Flow Data'!N28,0)</f>
        <v>28</v>
      </c>
    </row>
    <row r="102" spans="2:12" x14ac:dyDescent="0.45"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2:12" x14ac:dyDescent="0.45">
      <c r="B103" s="35" t="s">
        <v>114</v>
      </c>
      <c r="C103" s="28">
        <f>IFERROR(SUM(C95:C102),0)</f>
        <v>-5613</v>
      </c>
      <c r="D103" s="28">
        <f t="shared" ref="D103:L103" si="24">IFERROR(SUM(D95:D102),0)</f>
        <v>-7300</v>
      </c>
      <c r="E103" s="28">
        <f t="shared" si="24"/>
        <v>-6221</v>
      </c>
      <c r="F103" s="28">
        <f t="shared" si="24"/>
        <v>-6869</v>
      </c>
      <c r="G103" s="28">
        <f t="shared" si="24"/>
        <v>-8182</v>
      </c>
      <c r="H103" s="28">
        <f t="shared" si="24"/>
        <v>-18633</v>
      </c>
      <c r="I103" s="28">
        <f t="shared" si="24"/>
        <v>-13581</v>
      </c>
      <c r="J103" s="28">
        <f t="shared" si="24"/>
        <v>-13007</v>
      </c>
      <c r="K103" s="28">
        <f t="shared" si="24"/>
        <v>-18551</v>
      </c>
      <c r="L103" s="28">
        <f t="shared" si="24"/>
        <v>-17037</v>
      </c>
    </row>
    <row r="104" spans="2:12" x14ac:dyDescent="0.45"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2:12" x14ac:dyDescent="0.45">
      <c r="B105" s="8" t="s">
        <v>50</v>
      </c>
      <c r="C105" s="26">
        <f>IFERROR(SUM(C103+C92+C78),0)</f>
        <v>-6282</v>
      </c>
      <c r="D105" s="26">
        <f t="shared" ref="D105:L105" si="25">IFERROR(SUM(D103+D92+D78),0)</f>
        <v>-6255</v>
      </c>
      <c r="E105" s="26">
        <f t="shared" si="25"/>
        <v>-8421</v>
      </c>
      <c r="F105" s="26">
        <f t="shared" si="25"/>
        <v>-9022</v>
      </c>
      <c r="G105" s="26">
        <f t="shared" si="25"/>
        <v>-7986</v>
      </c>
      <c r="H105" s="26">
        <f t="shared" si="25"/>
        <v>3123</v>
      </c>
      <c r="I105" s="26">
        <f t="shared" si="25"/>
        <v>-4523</v>
      </c>
      <c r="J105" s="26">
        <f t="shared" si="25"/>
        <v>-9260</v>
      </c>
      <c r="K105" s="26">
        <f t="shared" si="25"/>
        <v>-5148</v>
      </c>
      <c r="L105" s="26">
        <f t="shared" si="25"/>
        <v>-5559</v>
      </c>
    </row>
  </sheetData>
  <mergeCells count="1">
    <mergeCell ref="B2:M2"/>
  </mergeCells>
  <pageMargins left="0.7" right="0.7" top="0.75" bottom="0.75" header="0.3" footer="0.3"/>
  <ignoredErrors>
    <ignoredError sqref="M6 M9 C15:M15 M21 M24 M27 M30 M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238B-0A5A-423F-9D77-54B759B875C7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E90-F46D-43E1-B3E3-C1CDDB509F5C}">
  <dimension ref="A1:K93"/>
  <sheetViews>
    <sheetView topLeftCell="A48" workbookViewId="0">
      <selection activeCell="B60" sqref="B60"/>
    </sheetView>
  </sheetViews>
  <sheetFormatPr defaultColWidth="8.796875" defaultRowHeight="14.25" x14ac:dyDescent="0.45"/>
  <cols>
    <col min="1" max="1" width="27.6640625" style="2" bestFit="1" customWidth="1"/>
    <col min="2" max="11" width="13.46484375" style="2" bestFit="1" customWidth="1"/>
    <col min="12" max="16384" width="8.796875" style="2"/>
  </cols>
  <sheetData>
    <row r="1" spans="1:11" s="1" customFormat="1" x14ac:dyDescent="0.45">
      <c r="A1" s="1" t="s">
        <v>0</v>
      </c>
      <c r="B1" s="1" t="s">
        <v>1</v>
      </c>
      <c r="E1" s="42" t="str">
        <f>IF(B2&lt;&gt;B3, "A NEW VERSION OF THE WORKSHEET IS AVAILABLE", "")</f>
        <v/>
      </c>
      <c r="F1" s="42"/>
      <c r="G1" s="42"/>
      <c r="H1" s="42"/>
      <c r="I1" s="42"/>
      <c r="J1" s="42"/>
      <c r="K1" s="42"/>
    </row>
    <row r="2" spans="1:11" x14ac:dyDescent="0.45">
      <c r="A2" s="1" t="s">
        <v>2</v>
      </c>
      <c r="B2" s="2">
        <v>2.1</v>
      </c>
      <c r="E2" s="43" t="s">
        <v>3</v>
      </c>
      <c r="F2" s="43"/>
      <c r="G2" s="43"/>
      <c r="H2" s="43"/>
      <c r="I2" s="43"/>
      <c r="J2" s="43"/>
      <c r="K2" s="43"/>
    </row>
    <row r="3" spans="1:11" x14ac:dyDescent="0.45">
      <c r="A3" s="1" t="s">
        <v>4</v>
      </c>
      <c r="B3" s="2">
        <v>2.1</v>
      </c>
    </row>
    <row r="4" spans="1:11" x14ac:dyDescent="0.45">
      <c r="A4" s="1"/>
    </row>
    <row r="5" spans="1:11" x14ac:dyDescent="0.45">
      <c r="A5" s="1" t="s">
        <v>5</v>
      </c>
    </row>
    <row r="6" spans="1:11" x14ac:dyDescent="0.45">
      <c r="A6" s="2" t="s">
        <v>6</v>
      </c>
      <c r="B6" s="2">
        <f>IF(B9&gt;0, B9/B8, 0)</f>
        <v>1252.9468164794007</v>
      </c>
    </row>
    <row r="7" spans="1:11" x14ac:dyDescent="0.45">
      <c r="A7" s="2" t="s">
        <v>7</v>
      </c>
      <c r="B7">
        <v>1</v>
      </c>
    </row>
    <row r="8" spans="1:11" x14ac:dyDescent="0.45">
      <c r="A8" s="2" t="s">
        <v>8</v>
      </c>
      <c r="B8">
        <v>293.7</v>
      </c>
    </row>
    <row r="9" spans="1:11" x14ac:dyDescent="0.45">
      <c r="A9" s="2" t="s">
        <v>9</v>
      </c>
      <c r="B9">
        <v>367990.48</v>
      </c>
    </row>
    <row r="15" spans="1:11" x14ac:dyDescent="0.45">
      <c r="A15" s="1" t="s">
        <v>10</v>
      </c>
    </row>
    <row r="16" spans="1:11" s="5" customFormat="1" x14ac:dyDescent="0.4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45">
      <c r="A17" s="6" t="s">
        <v>12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45">
      <c r="A18" s="2" t="s">
        <v>13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45">
      <c r="A19" s="2" t="s">
        <v>14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45">
      <c r="A20" s="2" t="s">
        <v>15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45">
      <c r="A21" s="2" t="s">
        <v>16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45">
      <c r="A22" s="2" t="s">
        <v>17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45">
      <c r="A23" s="2" t="s">
        <v>18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45">
      <c r="A24" s="2" t="s">
        <v>19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45">
      <c r="A25" s="6" t="s">
        <v>20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45">
      <c r="A26" s="6" t="s">
        <v>21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45">
      <c r="A27" s="6" t="s">
        <v>22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45">
      <c r="A28" s="6" t="s">
        <v>23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45">
      <c r="A29" s="6" t="s">
        <v>24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45">
      <c r="A30" s="6" t="s">
        <v>25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45">
      <c r="A31" s="6" t="s">
        <v>26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27</v>
      </c>
    </row>
    <row r="41" spans="1:11" s="5" customFormat="1" x14ac:dyDescent="0.45">
      <c r="A41" s="3" t="s">
        <v>11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45">
      <c r="A42" s="6" t="s">
        <v>12</v>
      </c>
      <c r="B42">
        <v>17774.47</v>
      </c>
      <c r="C42">
        <v>17195.240000000002</v>
      </c>
      <c r="D42">
        <v>17037.8</v>
      </c>
      <c r="E42">
        <v>17777.810000000001</v>
      </c>
      <c r="F42">
        <v>19990.36</v>
      </c>
      <c r="G42">
        <v>18790.169999999998</v>
      </c>
      <c r="H42">
        <v>18765</v>
      </c>
      <c r="I42">
        <v>21494.79</v>
      </c>
      <c r="J42">
        <v>19501.63</v>
      </c>
      <c r="K42">
        <v>20047.3</v>
      </c>
    </row>
    <row r="43" spans="1:11" s="6" customFormat="1" x14ac:dyDescent="0.45">
      <c r="A43" s="6" t="s">
        <v>28</v>
      </c>
      <c r="B43">
        <v>11320.23</v>
      </c>
      <c r="C43">
        <v>10985.01</v>
      </c>
      <c r="D43">
        <v>10735.73</v>
      </c>
      <c r="E43">
        <v>11232.97</v>
      </c>
      <c r="F43">
        <v>13438.28</v>
      </c>
      <c r="G43">
        <v>12428.27</v>
      </c>
      <c r="H43">
        <v>12245.61</v>
      </c>
      <c r="I43">
        <v>14678.32</v>
      </c>
      <c r="J43">
        <v>12806.94</v>
      </c>
      <c r="K43">
        <v>13164.78</v>
      </c>
    </row>
    <row r="44" spans="1:11" s="6" customFormat="1" x14ac:dyDescent="0.45">
      <c r="A44" s="6" t="s">
        <v>20</v>
      </c>
      <c r="B44">
        <v>673.5</v>
      </c>
      <c r="C44">
        <v>820.26</v>
      </c>
      <c r="D44">
        <v>868</v>
      </c>
      <c r="E44">
        <v>771.13</v>
      </c>
      <c r="F44">
        <v>690.31</v>
      </c>
      <c r="G44">
        <v>803.4</v>
      </c>
      <c r="H44">
        <v>15391.28</v>
      </c>
      <c r="I44">
        <v>750.97</v>
      </c>
      <c r="J44">
        <v>738.84</v>
      </c>
      <c r="K44">
        <v>321.85000000000002</v>
      </c>
    </row>
    <row r="45" spans="1:11" s="6" customFormat="1" x14ac:dyDescent="0.45">
      <c r="A45" s="6" t="s">
        <v>21</v>
      </c>
      <c r="B45">
        <v>453.04</v>
      </c>
      <c r="C45">
        <v>384.04</v>
      </c>
      <c r="D45">
        <v>385.09</v>
      </c>
      <c r="E45">
        <v>403.13</v>
      </c>
      <c r="F45">
        <v>416.18</v>
      </c>
      <c r="G45">
        <v>415.98</v>
      </c>
      <c r="H45">
        <v>411.03</v>
      </c>
      <c r="I45">
        <v>422.96</v>
      </c>
      <c r="J45">
        <v>434.8</v>
      </c>
      <c r="K45">
        <v>430.82</v>
      </c>
    </row>
    <row r="46" spans="1:11" s="6" customFormat="1" x14ac:dyDescent="0.45">
      <c r="A46" s="6" t="s">
        <v>22</v>
      </c>
      <c r="B46">
        <v>9.8699999999999992</v>
      </c>
      <c r="C46">
        <v>11.94</v>
      </c>
      <c r="D46">
        <v>10.72</v>
      </c>
      <c r="E46">
        <v>9.6</v>
      </c>
      <c r="F46">
        <v>14.73</v>
      </c>
      <c r="G46">
        <v>9.82</v>
      </c>
      <c r="H46">
        <v>10.91</v>
      </c>
      <c r="I46">
        <v>16.47</v>
      </c>
      <c r="J46">
        <v>20.05</v>
      </c>
      <c r="K46">
        <v>19.47</v>
      </c>
    </row>
    <row r="47" spans="1:11" s="6" customFormat="1" x14ac:dyDescent="0.45">
      <c r="A47" s="6" t="s">
        <v>23</v>
      </c>
      <c r="B47">
        <v>6664.83</v>
      </c>
      <c r="C47">
        <v>6634.51</v>
      </c>
      <c r="D47">
        <v>6774.26</v>
      </c>
      <c r="E47">
        <v>6903.24</v>
      </c>
      <c r="F47">
        <v>6811.48</v>
      </c>
      <c r="G47">
        <v>6739.5</v>
      </c>
      <c r="H47">
        <v>21488.73</v>
      </c>
      <c r="I47">
        <v>7128.01</v>
      </c>
      <c r="J47">
        <v>6978.68</v>
      </c>
      <c r="K47">
        <v>6754.08</v>
      </c>
    </row>
    <row r="48" spans="1:11" s="6" customFormat="1" x14ac:dyDescent="0.45">
      <c r="A48" s="6" t="s">
        <v>24</v>
      </c>
      <c r="B48">
        <v>1700.31</v>
      </c>
      <c r="C48">
        <v>1227.99</v>
      </c>
      <c r="D48">
        <v>1583.55</v>
      </c>
      <c r="E48">
        <v>1726.25</v>
      </c>
      <c r="F48">
        <v>1757.05</v>
      </c>
      <c r="G48">
        <v>1726.32</v>
      </c>
      <c r="H48">
        <v>1680.85</v>
      </c>
      <c r="I48">
        <v>1784.6</v>
      </c>
      <c r="J48">
        <v>1792.13</v>
      </c>
      <c r="K48">
        <v>1735.63</v>
      </c>
    </row>
    <row r="49" spans="1:11" s="6" customFormat="1" x14ac:dyDescent="0.45">
      <c r="A49" s="6" t="s">
        <v>25</v>
      </c>
      <c r="B49">
        <v>4898.07</v>
      </c>
      <c r="C49">
        <v>5335.23</v>
      </c>
      <c r="D49">
        <v>5120.55</v>
      </c>
      <c r="E49">
        <v>5091.59</v>
      </c>
      <c r="F49">
        <v>4992.87</v>
      </c>
      <c r="G49">
        <v>4934.8</v>
      </c>
      <c r="H49">
        <v>19727.37</v>
      </c>
      <c r="I49">
        <v>5244.2</v>
      </c>
      <c r="J49">
        <v>5126.1099999999997</v>
      </c>
      <c r="K49">
        <v>4931.1899999999996</v>
      </c>
    </row>
    <row r="50" spans="1:11" x14ac:dyDescent="0.45">
      <c r="A50" s="6" t="s">
        <v>29</v>
      </c>
      <c r="B50">
        <v>6454.24</v>
      </c>
      <c r="C50">
        <v>6210.23</v>
      </c>
      <c r="D50">
        <v>6302.07</v>
      </c>
      <c r="E50">
        <v>6544.84</v>
      </c>
      <c r="F50">
        <v>6552.08</v>
      </c>
      <c r="G50">
        <v>6361.9</v>
      </c>
      <c r="H50">
        <v>6519.39</v>
      </c>
      <c r="I50">
        <v>6816.47</v>
      </c>
      <c r="J50">
        <v>6694.69</v>
      </c>
      <c r="K50">
        <v>6882.52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30</v>
      </c>
    </row>
    <row r="56" spans="1:11" s="5" customFormat="1" x14ac:dyDescent="0.4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45">
      <c r="A57" s="6" t="s">
        <v>31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45">
      <c r="A58" s="6" t="s">
        <v>32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45">
      <c r="A59" s="6" t="s">
        <v>33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45">
      <c r="A60" s="6" t="s">
        <v>34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45">
      <c r="A61" s="1" t="s">
        <v>35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45">
      <c r="A62" s="6" t="s">
        <v>36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45">
      <c r="A63" s="6" t="s">
        <v>37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45">
      <c r="A64" s="6" t="s">
        <v>38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45">
      <c r="A65" s="6" t="s">
        <v>39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45">
      <c r="A66" s="1" t="s">
        <v>35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45">
      <c r="A67" s="6" t="s">
        <v>40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45">
      <c r="A68" s="6" t="s">
        <v>41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45">
      <c r="A69" s="2" t="s">
        <v>42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45">
      <c r="A70" s="2" t="s">
        <v>43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45">
      <c r="A71" s="2" t="s">
        <v>44</v>
      </c>
      <c r="C71">
        <v>4026657100</v>
      </c>
    </row>
    <row r="72" spans="1:11" x14ac:dyDescent="0.45">
      <c r="A72" s="2" t="s">
        <v>45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46</v>
      </c>
    </row>
    <row r="81" spans="1:11" s="5" customFormat="1" x14ac:dyDescent="0.4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45">
      <c r="A82" s="6" t="s">
        <v>47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45">
      <c r="A83" s="6" t="s">
        <v>48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45">
      <c r="A84" s="6" t="s">
        <v>49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45">
      <c r="A85" s="6" t="s">
        <v>50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51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45">
      <c r="A92" s="1" t="s">
        <v>52</v>
      </c>
    </row>
    <row r="93" spans="1:11" x14ac:dyDescent="0.45">
      <c r="A93" s="2" t="s">
        <v>53</v>
      </c>
      <c r="B93" s="7">
        <v>1207.08</v>
      </c>
      <c r="C93" s="7">
        <v>1214.74</v>
      </c>
      <c r="D93" s="7">
        <v>1220.43</v>
      </c>
      <c r="E93" s="7">
        <v>1225.8599999999999</v>
      </c>
      <c r="F93" s="7">
        <v>1229.22</v>
      </c>
      <c r="G93" s="7">
        <v>1230.8800000000001</v>
      </c>
      <c r="H93" s="7">
        <v>1232.33</v>
      </c>
      <c r="I93" s="7">
        <v>1242.8</v>
      </c>
      <c r="J93" s="7">
        <v>1248.47</v>
      </c>
      <c r="K93" s="7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CF4B7F1-C4A8-471C-805F-90774DDB2A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9C3-5819-4317-BF21-6805C51821CD}">
  <dimension ref="B2:N35"/>
  <sheetViews>
    <sheetView topLeftCell="B3" workbookViewId="0">
      <selection activeCell="G14" sqref="G14"/>
    </sheetView>
  </sheetViews>
  <sheetFormatPr defaultRowHeight="14.25" x14ac:dyDescent="0.45"/>
  <cols>
    <col min="1" max="1" width="1.73046875" customWidth="1"/>
    <col min="2" max="2" width="25.73046875" bestFit="1" customWidth="1"/>
    <col min="3" max="4" width="11.59765625" customWidth="1"/>
    <col min="5" max="5" width="11.796875" bestFit="1" customWidth="1"/>
    <col min="6" max="13" width="11.59765625" customWidth="1"/>
    <col min="14" max="14" width="12.59765625" customWidth="1"/>
  </cols>
  <sheetData>
    <row r="2" spans="2:14" x14ac:dyDescent="0.45">
      <c r="C2" s="36">
        <v>41699</v>
      </c>
      <c r="D2" s="36">
        <v>42064</v>
      </c>
      <c r="E2" s="37">
        <v>42430</v>
      </c>
      <c r="F2" s="37">
        <v>42795</v>
      </c>
      <c r="G2" s="37">
        <v>43160</v>
      </c>
      <c r="H2" s="37">
        <v>43525</v>
      </c>
      <c r="I2" s="37">
        <v>43891</v>
      </c>
      <c r="J2" s="37">
        <v>44256</v>
      </c>
      <c r="K2" s="37">
        <v>44621</v>
      </c>
      <c r="L2" s="37">
        <v>44986</v>
      </c>
      <c r="M2" s="37">
        <v>45352</v>
      </c>
      <c r="N2" s="37">
        <v>45717</v>
      </c>
    </row>
    <row r="3" spans="2:14" x14ac:dyDescent="0.45">
      <c r="B3" s="8" t="s">
        <v>115</v>
      </c>
      <c r="C3" s="13">
        <v>7344</v>
      </c>
      <c r="D3" s="13">
        <v>9843</v>
      </c>
      <c r="E3" s="13">
        <v>9799</v>
      </c>
      <c r="F3" s="13">
        <v>10627</v>
      </c>
      <c r="G3" s="13">
        <v>13169</v>
      </c>
      <c r="H3" s="13">
        <v>12583</v>
      </c>
      <c r="I3" s="13">
        <v>14690</v>
      </c>
      <c r="J3" s="13">
        <v>12527</v>
      </c>
      <c r="K3" s="13">
        <v>15776</v>
      </c>
      <c r="L3" s="13">
        <v>18878</v>
      </c>
      <c r="M3" s="13">
        <v>17179</v>
      </c>
      <c r="N3" s="13">
        <v>17627</v>
      </c>
    </row>
    <row r="4" spans="2:14" x14ac:dyDescent="0.45">
      <c r="B4" t="s">
        <v>88</v>
      </c>
      <c r="C4" s="13">
        <v>13172</v>
      </c>
      <c r="D4" s="13">
        <v>14261</v>
      </c>
      <c r="E4" s="13">
        <v>15154</v>
      </c>
      <c r="F4" s="13">
        <v>16075</v>
      </c>
      <c r="G4" s="13">
        <v>17433</v>
      </c>
      <c r="H4" s="13">
        <v>18862</v>
      </c>
      <c r="I4" s="13">
        <v>19416</v>
      </c>
      <c r="J4" s="13">
        <v>17326</v>
      </c>
      <c r="K4" s="13">
        <v>20857</v>
      </c>
      <c r="L4" s="13">
        <v>26052</v>
      </c>
      <c r="M4" s="13">
        <v>26635</v>
      </c>
      <c r="N4" s="13">
        <v>26719</v>
      </c>
    </row>
    <row r="5" spans="2:14" x14ac:dyDescent="0.45">
      <c r="B5" t="s">
        <v>40</v>
      </c>
      <c r="C5" s="13">
        <v>-1546</v>
      </c>
      <c r="D5" s="13">
        <v>558</v>
      </c>
      <c r="E5" s="13">
        <v>-207</v>
      </c>
      <c r="F5" s="13">
        <v>-870</v>
      </c>
      <c r="G5" s="13">
        <v>-964</v>
      </c>
      <c r="H5" s="13">
        <v>-755</v>
      </c>
      <c r="I5" s="13">
        <v>1411</v>
      </c>
      <c r="J5" s="13">
        <v>-66</v>
      </c>
      <c r="K5" s="13">
        <v>-732</v>
      </c>
      <c r="L5" s="13">
        <v>-884</v>
      </c>
      <c r="M5" s="13">
        <v>-934</v>
      </c>
      <c r="N5" s="13">
        <v>-1023</v>
      </c>
    </row>
    <row r="6" spans="2:14" x14ac:dyDescent="0.45">
      <c r="B6" t="s">
        <v>41</v>
      </c>
      <c r="C6" s="13">
        <v>-755</v>
      </c>
      <c r="D6" s="13">
        <v>-505</v>
      </c>
      <c r="E6" s="13">
        <v>-693</v>
      </c>
      <c r="F6" s="13">
        <v>593</v>
      </c>
      <c r="G6" s="13">
        <v>602</v>
      </c>
      <c r="H6" s="13">
        <v>-359</v>
      </c>
      <c r="I6" s="13">
        <v>-508</v>
      </c>
      <c r="J6" s="13">
        <v>-1460</v>
      </c>
      <c r="K6" s="13">
        <v>-466</v>
      </c>
      <c r="L6" s="13">
        <v>-1098</v>
      </c>
      <c r="M6" s="13">
        <v>-2545</v>
      </c>
      <c r="N6" s="13">
        <v>-2975</v>
      </c>
    </row>
    <row r="7" spans="2:14" x14ac:dyDescent="0.45">
      <c r="B7" t="s">
        <v>89</v>
      </c>
      <c r="C7" s="13">
        <v>456</v>
      </c>
      <c r="D7" s="13">
        <v>-23</v>
      </c>
      <c r="E7" s="13">
        <v>622</v>
      </c>
      <c r="F7" s="13">
        <v>321</v>
      </c>
      <c r="G7" s="13">
        <v>2098</v>
      </c>
      <c r="H7" s="13">
        <v>639</v>
      </c>
      <c r="I7" s="13">
        <v>-607</v>
      </c>
      <c r="J7" s="13">
        <v>1112</v>
      </c>
      <c r="K7" s="13">
        <v>1099</v>
      </c>
      <c r="L7" s="13">
        <v>1058</v>
      </c>
      <c r="M7" s="13">
        <v>141</v>
      </c>
      <c r="N7" s="13">
        <v>1256</v>
      </c>
    </row>
    <row r="8" spans="2:14" x14ac:dyDescent="0.45">
      <c r="B8" t="s">
        <v>90</v>
      </c>
      <c r="C8" s="13">
        <v>-1844</v>
      </c>
      <c r="D8" s="13">
        <v>31</v>
      </c>
      <c r="E8" s="13">
        <v>-277</v>
      </c>
      <c r="F8" s="13">
        <v>44</v>
      </c>
      <c r="G8" s="13">
        <v>1736</v>
      </c>
      <c r="H8" s="13">
        <v>-476</v>
      </c>
      <c r="I8" s="13">
        <v>296</v>
      </c>
      <c r="J8" s="13">
        <v>-413</v>
      </c>
      <c r="K8" s="13">
        <v>-100</v>
      </c>
      <c r="L8" s="13">
        <v>-924</v>
      </c>
      <c r="M8" s="13">
        <v>-3337</v>
      </c>
      <c r="N8" s="13">
        <v>-2742</v>
      </c>
    </row>
    <row r="9" spans="2:14" x14ac:dyDescent="0.45">
      <c r="B9" t="s">
        <v>91</v>
      </c>
      <c r="C9" s="13">
        <v>-3984</v>
      </c>
      <c r="D9" s="13">
        <v>-4449</v>
      </c>
      <c r="E9" s="13">
        <v>-5078</v>
      </c>
      <c r="F9" s="13">
        <v>-5492</v>
      </c>
      <c r="G9" s="13">
        <v>-6000</v>
      </c>
      <c r="H9" s="13">
        <v>-5803</v>
      </c>
      <c r="I9" s="13">
        <v>-5023</v>
      </c>
      <c r="J9" s="13">
        <v>-4387</v>
      </c>
      <c r="K9" s="13">
        <v>-4982</v>
      </c>
      <c r="L9" s="13">
        <v>-6250</v>
      </c>
      <c r="M9" s="13">
        <v>-6120</v>
      </c>
      <c r="N9" s="13">
        <v>-6350</v>
      </c>
    </row>
    <row r="10" spans="2:14" x14ac:dyDescent="0.45">
      <c r="B10" s="8" t="s">
        <v>116</v>
      </c>
      <c r="C10" s="13">
        <v>-3254</v>
      </c>
      <c r="D10" s="13">
        <v>-5275</v>
      </c>
      <c r="E10" s="13">
        <v>-3921</v>
      </c>
      <c r="F10" s="13">
        <v>-3251</v>
      </c>
      <c r="G10" s="13">
        <v>-7114</v>
      </c>
      <c r="H10" s="13">
        <v>-5546</v>
      </c>
      <c r="I10" s="13">
        <v>-6174</v>
      </c>
      <c r="J10" s="13">
        <v>5740</v>
      </c>
      <c r="K10" s="13">
        <v>-2238</v>
      </c>
      <c r="L10" s="13">
        <v>-5732</v>
      </c>
      <c r="M10" s="13">
        <v>1563</v>
      </c>
      <c r="N10" s="13">
        <v>-564</v>
      </c>
    </row>
    <row r="11" spans="2:14" x14ac:dyDescent="0.45">
      <c r="B11" t="s">
        <v>92</v>
      </c>
      <c r="C11" s="13">
        <v>-2887</v>
      </c>
      <c r="D11" s="13">
        <v>-3300</v>
      </c>
      <c r="E11" s="13">
        <v>-2348</v>
      </c>
      <c r="F11" s="13">
        <v>-3122</v>
      </c>
      <c r="G11" s="13">
        <v>-2878</v>
      </c>
      <c r="H11" s="13">
        <v>-3169</v>
      </c>
      <c r="I11" s="13">
        <v>-2441</v>
      </c>
      <c r="J11" s="13">
        <v>-1837</v>
      </c>
      <c r="K11" s="13">
        <v>-2142</v>
      </c>
      <c r="L11" s="13">
        <v>-2743</v>
      </c>
      <c r="M11" s="13">
        <v>-3563</v>
      </c>
      <c r="N11" s="13">
        <v>-2279</v>
      </c>
    </row>
    <row r="12" spans="2:14" x14ac:dyDescent="0.45">
      <c r="B12" t="s">
        <v>93</v>
      </c>
      <c r="C12" s="13">
        <v>38</v>
      </c>
      <c r="D12" s="13">
        <v>9</v>
      </c>
      <c r="E12" s="13">
        <v>8</v>
      </c>
      <c r="F12" s="13">
        <v>50</v>
      </c>
      <c r="G12" s="13">
        <v>80</v>
      </c>
      <c r="H12" s="13">
        <v>28</v>
      </c>
      <c r="I12" s="13">
        <v>27</v>
      </c>
      <c r="J12" s="13">
        <v>3</v>
      </c>
      <c r="K12" s="13">
        <v>133</v>
      </c>
      <c r="L12" s="13">
        <v>49</v>
      </c>
      <c r="M12" s="13">
        <v>107</v>
      </c>
      <c r="N12" s="13">
        <v>175</v>
      </c>
    </row>
    <row r="13" spans="2:14" x14ac:dyDescent="0.45">
      <c r="B13" t="s">
        <v>94</v>
      </c>
      <c r="C13" s="13">
        <v>-94242</v>
      </c>
      <c r="D13" s="13">
        <v>-98742</v>
      </c>
      <c r="E13" s="13">
        <v>-154081</v>
      </c>
      <c r="F13" s="13">
        <v>-85683</v>
      </c>
      <c r="G13" s="13">
        <v>-98330</v>
      </c>
      <c r="H13" s="13">
        <v>-94187</v>
      </c>
      <c r="I13" s="13">
        <v>-79835</v>
      </c>
      <c r="J13" s="13">
        <v>-57553</v>
      </c>
      <c r="K13" s="13">
        <v>-69776</v>
      </c>
      <c r="L13" s="13">
        <v>-80932</v>
      </c>
      <c r="M13" s="13">
        <v>-75107</v>
      </c>
      <c r="N13" s="13">
        <v>-66373</v>
      </c>
    </row>
    <row r="14" spans="2:14" x14ac:dyDescent="0.45">
      <c r="B14" t="s">
        <v>95</v>
      </c>
      <c r="C14" s="13">
        <v>93293</v>
      </c>
      <c r="D14" s="13">
        <v>99658</v>
      </c>
      <c r="E14" s="13">
        <v>150651</v>
      </c>
      <c r="F14" s="13">
        <v>81034</v>
      </c>
      <c r="G14" s="13">
        <v>95017</v>
      </c>
      <c r="H14" s="13">
        <v>92454</v>
      </c>
      <c r="I14" s="13">
        <v>75835</v>
      </c>
      <c r="J14" s="13">
        <v>62797</v>
      </c>
      <c r="K14" s="13">
        <v>70992</v>
      </c>
      <c r="L14" s="13">
        <v>77230</v>
      </c>
      <c r="M14" s="13">
        <v>77830</v>
      </c>
      <c r="N14" s="13">
        <v>67311</v>
      </c>
    </row>
    <row r="15" spans="2:14" x14ac:dyDescent="0.45">
      <c r="B15" t="s">
        <v>96</v>
      </c>
      <c r="C15" s="13">
        <v>374</v>
      </c>
      <c r="D15" s="13">
        <v>559</v>
      </c>
      <c r="E15" s="13">
        <v>741</v>
      </c>
      <c r="F15" s="13">
        <v>756</v>
      </c>
      <c r="G15" s="13">
        <v>736</v>
      </c>
      <c r="H15" s="13">
        <v>1184</v>
      </c>
      <c r="I15" s="13">
        <v>1513</v>
      </c>
      <c r="J15" s="13">
        <v>1275</v>
      </c>
      <c r="K15" s="13">
        <v>1035</v>
      </c>
      <c r="L15" s="13">
        <v>1324</v>
      </c>
      <c r="M15" s="13">
        <v>1138</v>
      </c>
      <c r="N15" s="13">
        <v>1072</v>
      </c>
    </row>
    <row r="16" spans="2:14" x14ac:dyDescent="0.45">
      <c r="B16" t="s">
        <v>97</v>
      </c>
      <c r="C16" s="13">
        <v>192</v>
      </c>
      <c r="D16" s="13">
        <v>268</v>
      </c>
      <c r="E16" s="13">
        <v>64</v>
      </c>
      <c r="F16" s="13">
        <v>4</v>
      </c>
      <c r="G16" s="13">
        <v>13</v>
      </c>
      <c r="H16" s="13">
        <v>13</v>
      </c>
      <c r="I16" s="13">
        <v>17</v>
      </c>
      <c r="J16" s="13">
        <v>7</v>
      </c>
      <c r="K16" s="13">
        <v>16</v>
      </c>
      <c r="L16" s="13">
        <v>19</v>
      </c>
      <c r="M16" s="13">
        <v>36</v>
      </c>
      <c r="N16" s="13">
        <v>38</v>
      </c>
    </row>
    <row r="17" spans="2:14" x14ac:dyDescent="0.45">
      <c r="B17" t="s">
        <v>117</v>
      </c>
      <c r="C17" s="13">
        <v>0</v>
      </c>
      <c r="D17" s="13">
        <v>0</v>
      </c>
      <c r="E17" s="13">
        <v>-8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</row>
    <row r="18" spans="2:14" x14ac:dyDescent="0.45">
      <c r="B18" t="s">
        <v>98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-2</v>
      </c>
      <c r="K18" s="13">
        <v>-2</v>
      </c>
      <c r="L18" s="13">
        <v>-2</v>
      </c>
      <c r="M18" s="13">
        <v>-65</v>
      </c>
      <c r="N18" s="13">
        <v>-30</v>
      </c>
    </row>
    <row r="19" spans="2:14" x14ac:dyDescent="0.45">
      <c r="B19" t="s">
        <v>99</v>
      </c>
      <c r="C19" s="13">
        <v>0</v>
      </c>
      <c r="D19" s="13">
        <v>0</v>
      </c>
      <c r="E19" s="13">
        <v>0</v>
      </c>
      <c r="F19" s="13">
        <v>129</v>
      </c>
      <c r="G19" s="13">
        <v>18</v>
      </c>
      <c r="H19" s="13">
        <v>18</v>
      </c>
      <c r="I19" s="13">
        <v>0</v>
      </c>
      <c r="J19" s="13">
        <v>0</v>
      </c>
      <c r="K19" s="13">
        <v>0</v>
      </c>
      <c r="L19" s="13">
        <v>56</v>
      </c>
      <c r="M19" s="13">
        <v>0</v>
      </c>
      <c r="N19" s="13">
        <v>0</v>
      </c>
    </row>
    <row r="20" spans="2:14" x14ac:dyDescent="0.45">
      <c r="B20" t="s">
        <v>100</v>
      </c>
      <c r="C20" s="13">
        <v>-21</v>
      </c>
      <c r="D20" s="13">
        <v>-3728</v>
      </c>
      <c r="E20" s="13">
        <v>1052</v>
      </c>
      <c r="F20" s="13">
        <v>3579</v>
      </c>
      <c r="G20" s="13">
        <v>-1769</v>
      </c>
      <c r="H20" s="13">
        <v>-1887</v>
      </c>
      <c r="I20" s="13">
        <v>-1290</v>
      </c>
      <c r="J20" s="13">
        <v>1051</v>
      </c>
      <c r="K20" s="13">
        <v>-2494</v>
      </c>
      <c r="L20" s="13">
        <v>-733</v>
      </c>
      <c r="M20" s="13">
        <v>1187</v>
      </c>
      <c r="N20" s="13">
        <v>-478</v>
      </c>
    </row>
    <row r="21" spans="2:14" x14ac:dyDescent="0.45">
      <c r="B21" s="8" t="s">
        <v>118</v>
      </c>
      <c r="C21" s="13">
        <v>-4122</v>
      </c>
      <c r="D21" s="13">
        <v>-4661</v>
      </c>
      <c r="E21" s="13">
        <v>-5613</v>
      </c>
      <c r="F21" s="13">
        <v>-7301</v>
      </c>
      <c r="G21" s="13">
        <v>-6221</v>
      </c>
      <c r="H21" s="13">
        <v>-6869</v>
      </c>
      <c r="I21" s="13">
        <v>-8181</v>
      </c>
      <c r="J21" s="13">
        <v>-18634</v>
      </c>
      <c r="K21" s="13">
        <v>-13580</v>
      </c>
      <c r="L21" s="13">
        <v>-13006</v>
      </c>
      <c r="M21" s="13">
        <v>-18551</v>
      </c>
      <c r="N21" s="13">
        <v>-17037</v>
      </c>
    </row>
    <row r="22" spans="2:14" x14ac:dyDescent="0.45">
      <c r="B22" t="s">
        <v>101</v>
      </c>
      <c r="C22" s="13">
        <v>691</v>
      </c>
      <c r="D22" s="13">
        <v>979</v>
      </c>
      <c r="E22" s="13">
        <v>532</v>
      </c>
      <c r="F22" s="13">
        <v>1067</v>
      </c>
      <c r="G22" s="13">
        <v>913</v>
      </c>
      <c r="H22" s="13">
        <v>969</v>
      </c>
      <c r="I22" s="13">
        <v>625</v>
      </c>
      <c r="J22" s="13">
        <v>291</v>
      </c>
      <c r="K22" s="13">
        <v>292</v>
      </c>
      <c r="L22" s="13">
        <v>2477</v>
      </c>
      <c r="M22" s="13">
        <v>1443</v>
      </c>
      <c r="N22" s="13">
        <v>797</v>
      </c>
    </row>
    <row r="23" spans="2:14" x14ac:dyDescent="0.45">
      <c r="B23" t="s">
        <v>102</v>
      </c>
      <c r="C23" s="13">
        <v>156</v>
      </c>
      <c r="D23" s="13">
        <v>7</v>
      </c>
      <c r="E23" s="13">
        <v>0</v>
      </c>
      <c r="F23" s="13">
        <v>0</v>
      </c>
      <c r="G23" s="13">
        <v>11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8</v>
      </c>
      <c r="N23" s="13">
        <v>90</v>
      </c>
    </row>
    <row r="24" spans="2:14" x14ac:dyDescent="0.45">
      <c r="B24" t="s">
        <v>103</v>
      </c>
      <c r="C24" s="13">
        <v>-15</v>
      </c>
      <c r="D24" s="13">
        <v>-20</v>
      </c>
      <c r="E24" s="13">
        <v>-13</v>
      </c>
      <c r="F24" s="13">
        <v>-13</v>
      </c>
      <c r="G24" s="13">
        <v>-8</v>
      </c>
      <c r="H24" s="13">
        <v>-18</v>
      </c>
      <c r="I24" s="13">
        <v>-3</v>
      </c>
      <c r="J24" s="13">
        <v>-2</v>
      </c>
      <c r="K24" s="13">
        <v>-1</v>
      </c>
      <c r="L24" s="13">
        <v>-1</v>
      </c>
      <c r="M24" s="13">
        <v>-2</v>
      </c>
      <c r="N24" s="13">
        <v>-54</v>
      </c>
    </row>
    <row r="25" spans="2:14" x14ac:dyDescent="0.45">
      <c r="B25" t="s">
        <v>104</v>
      </c>
      <c r="C25" s="13">
        <v>-48</v>
      </c>
      <c r="D25" s="13">
        <v>-16</v>
      </c>
      <c r="E25" s="13">
        <v>-28</v>
      </c>
      <c r="F25" s="13">
        <v>-25</v>
      </c>
      <c r="G25" s="13">
        <v>-49</v>
      </c>
      <c r="H25" s="13">
        <v>-98</v>
      </c>
      <c r="I25" s="13">
        <v>-44</v>
      </c>
      <c r="J25" s="13">
        <v>-41</v>
      </c>
      <c r="K25" s="13">
        <v>-40</v>
      </c>
      <c r="L25" s="13">
        <v>-41</v>
      </c>
      <c r="M25" s="13">
        <v>-46</v>
      </c>
      <c r="N25" s="13">
        <v>-50</v>
      </c>
    </row>
    <row r="26" spans="2:14" x14ac:dyDescent="0.45">
      <c r="B26" t="s">
        <v>105</v>
      </c>
      <c r="C26" s="13">
        <v>-4239</v>
      </c>
      <c r="D26" s="13">
        <v>-4876</v>
      </c>
      <c r="E26" s="13">
        <v>-5133</v>
      </c>
      <c r="F26" s="13">
        <v>-6994</v>
      </c>
      <c r="G26" s="13">
        <v>-5952</v>
      </c>
      <c r="H26" s="13">
        <v>-6519</v>
      </c>
      <c r="I26" s="13">
        <v>-7302</v>
      </c>
      <c r="J26" s="13">
        <v>-18881</v>
      </c>
      <c r="K26" s="13">
        <v>-13788</v>
      </c>
      <c r="L26" s="13">
        <v>-15418</v>
      </c>
      <c r="M26" s="13">
        <v>-19899</v>
      </c>
      <c r="N26" s="13">
        <v>-17782</v>
      </c>
    </row>
    <row r="27" spans="2:14" x14ac:dyDescent="0.45">
      <c r="B27" t="s">
        <v>106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-49</v>
      </c>
      <c r="J27" s="13">
        <v>-55</v>
      </c>
      <c r="K27" s="13">
        <v>-59</v>
      </c>
      <c r="L27" s="13">
        <v>-59</v>
      </c>
      <c r="M27" s="13">
        <v>-67</v>
      </c>
      <c r="N27" s="13">
        <v>-66</v>
      </c>
    </row>
    <row r="28" spans="2:14" x14ac:dyDescent="0.45">
      <c r="B28" t="s">
        <v>107</v>
      </c>
      <c r="C28" s="13">
        <v>-667</v>
      </c>
      <c r="D28" s="13">
        <v>-734</v>
      </c>
      <c r="E28" s="13">
        <v>-971</v>
      </c>
      <c r="F28" s="13">
        <v>-1335</v>
      </c>
      <c r="G28" s="13">
        <v>-1136</v>
      </c>
      <c r="H28" s="13">
        <v>-1203</v>
      </c>
      <c r="I28" s="13">
        <v>-1409</v>
      </c>
      <c r="J28" s="13">
        <v>55</v>
      </c>
      <c r="K28" s="13">
        <v>15</v>
      </c>
      <c r="L28" s="13">
        <v>35</v>
      </c>
      <c r="M28" s="13">
        <v>12</v>
      </c>
      <c r="N28" s="13">
        <v>28</v>
      </c>
    </row>
    <row r="29" spans="2:14" x14ac:dyDescent="0.45">
      <c r="B29" t="s">
        <v>50</v>
      </c>
      <c r="C29" s="13">
        <v>-32</v>
      </c>
      <c r="D29" s="13">
        <v>-93</v>
      </c>
      <c r="E29" s="13">
        <v>266</v>
      </c>
      <c r="F29" s="13">
        <v>75</v>
      </c>
      <c r="G29" s="13">
        <v>-166</v>
      </c>
      <c r="H29" s="13">
        <v>169</v>
      </c>
      <c r="I29" s="13">
        <v>334</v>
      </c>
      <c r="J29" s="13">
        <v>-367</v>
      </c>
      <c r="K29" s="13">
        <v>-43</v>
      </c>
      <c r="L29" s="13">
        <v>139</v>
      </c>
      <c r="M29" s="13">
        <v>191</v>
      </c>
      <c r="N29" s="13">
        <v>26</v>
      </c>
    </row>
    <row r="30" spans="2:14" x14ac:dyDescent="0.45">
      <c r="B30" t="s">
        <v>119</v>
      </c>
      <c r="C30" s="13">
        <v>4495</v>
      </c>
      <c r="D30" s="13">
        <v>6552</v>
      </c>
      <c r="E30" s="13">
        <v>7459</v>
      </c>
      <c r="F30" s="13">
        <v>7556</v>
      </c>
      <c r="G30" s="13">
        <v>10371</v>
      </c>
      <c r="H30" s="13">
        <v>9442</v>
      </c>
      <c r="I30" s="13">
        <v>12276</v>
      </c>
      <c r="J30" s="13">
        <v>10693</v>
      </c>
      <c r="K30" s="13">
        <v>13767</v>
      </c>
      <c r="L30" s="13">
        <v>16184</v>
      </c>
      <c r="M30" s="13">
        <v>13724</v>
      </c>
      <c r="N30" s="13">
        <v>15524</v>
      </c>
    </row>
    <row r="31" spans="2:14" x14ac:dyDescent="0.45">
      <c r="B31" t="s">
        <v>120</v>
      </c>
      <c r="C31" s="13">
        <v>0.87</v>
      </c>
      <c r="D31" s="13">
        <v>1</v>
      </c>
      <c r="E31" s="13">
        <v>1.02</v>
      </c>
      <c r="F31" s="13">
        <v>1.04</v>
      </c>
      <c r="G31" s="13">
        <v>1.1599999999999999</v>
      </c>
      <c r="H31" s="13">
        <v>0.99</v>
      </c>
      <c r="I31" s="13">
        <v>1.02</v>
      </c>
      <c r="J31" s="13">
        <v>0.99</v>
      </c>
      <c r="K31" s="13">
        <v>1.01</v>
      </c>
      <c r="L31" s="13">
        <v>0.98</v>
      </c>
      <c r="M31" s="13">
        <v>0.92</v>
      </c>
      <c r="N31" s="13">
        <v>0.93</v>
      </c>
    </row>
    <row r="32" spans="2:14" x14ac:dyDescent="0.45">
      <c r="C32" s="33"/>
      <c r="D32" s="33"/>
      <c r="E32" s="33"/>
      <c r="F32" s="33"/>
      <c r="G32" s="33"/>
      <c r="H32" s="33"/>
      <c r="I32" s="33"/>
      <c r="J32" s="33"/>
      <c r="K32" s="32"/>
      <c r="L32" s="32"/>
      <c r="M32" s="32"/>
      <c r="N32" s="32"/>
    </row>
    <row r="33" spans="3:14" x14ac:dyDescent="0.45">
      <c r="C33" s="32"/>
      <c r="D33" s="32"/>
      <c r="E33" s="32"/>
      <c r="F33" s="32"/>
      <c r="H33" s="32"/>
      <c r="I33" s="32"/>
      <c r="J33" s="32"/>
      <c r="K33" s="32"/>
      <c r="L33" s="32"/>
      <c r="M33" s="32"/>
      <c r="N33" s="32"/>
    </row>
    <row r="34" spans="3:14" x14ac:dyDescent="0.45">
      <c r="C34" s="32"/>
      <c r="D34" s="32"/>
      <c r="E34" s="32"/>
      <c r="F34" s="32"/>
      <c r="G34" s="32"/>
      <c r="H34" s="32"/>
      <c r="I34" s="32"/>
      <c r="J34" s="32"/>
      <c r="L34" s="32"/>
      <c r="M34" s="32"/>
      <c r="N34" s="32"/>
    </row>
    <row r="35" spans="3:14" x14ac:dyDescent="0.45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Financials&gt;</vt:lpstr>
      <vt:lpstr>Historical FS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P</dc:creator>
  <cp:lastModifiedBy>Y P</cp:lastModifiedBy>
  <dcterms:created xsi:type="dcterms:W3CDTF">2026-04-02T07:56:43Z</dcterms:created>
  <dcterms:modified xsi:type="dcterms:W3CDTF">2026-04-06T04:47:05Z</dcterms:modified>
</cp:coreProperties>
</file>